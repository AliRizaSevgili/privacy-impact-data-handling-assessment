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D:\working\waccache\TO1PEPF00001DB1\EXCELCNV\000ba0f9-86c7-4b13-9192-75be3371d5a7\"/>
    </mc:Choice>
  </mc:AlternateContent>
  <xr:revisionPtr revIDLastSave="7" documentId="8_{8483C2C8-1861-4F04-916B-87980668CCAC}" xr6:coauthVersionLast="47" xr6:coauthVersionMax="47" xr10:uidLastSave="{CC6D8C7D-EC19-45B6-89BD-C878363C2C0F}"/>
  <bookViews>
    <workbookView xWindow="-60" yWindow="-60" windowWidth="15480" windowHeight="11640" activeTab="1" xr2:uid="{00000000-000D-0000-FFFF-FFFF00000000}"/>
  </bookViews>
  <sheets>
    <sheet name="Summary" sheetId="1" r:id="rId1"/>
    <sheet name="Risk_Register" sheetId="2" r:id="rId2"/>
    <sheet name="Scoring_Methodology" sheetId="3" r:id="rId3"/>
    <sheet name="Reference_Lists" sheetId="4" r:id="rId4"/>
    <sheet name="Evidence_Map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<sst xmlns="http://schemas.openxmlformats.org/spreadsheetml/2006/main" count="345" uniqueCount="249">
  <si>
    <t>Workbook</t>
  </si>
  <si>
    <t>09_Privacy_Risk_Register.xlsx</t>
  </si>
  <si>
    <t>Project</t>
  </si>
  <si>
    <t>Privacy Impact &amp; Data Handling Risk Assessment: Customer-Facing Reservation Platform</t>
  </si>
  <si>
    <t>Purpose</t>
  </si>
  <si>
    <t>Document privacy risk statements, causes, impacts, likelihood, ratings, existing controls, gaps, mitigations, owners, target dates, residual risk, status, and evidence references.</t>
  </si>
  <si>
    <t>Assessment Lens</t>
  </si>
  <si>
    <t>Canadian privacy principles with PIPEDA Fair Information Principles used as an alignment framework.</t>
  </si>
  <si>
    <t>Scope</t>
  </si>
  <si>
    <t>Reservation, contact, checkout/payment, admin/internal access, email, logging, vendor processing, and change governance workflows.</t>
  </si>
  <si>
    <t>Important Limitation</t>
  </si>
  <si>
    <t>This workbook does not claim PIPEDA compliance, legal advice, official PIA completion, regulatory audit, or certification.</t>
  </si>
  <si>
    <t>Source Context</t>
  </si>
  <si>
    <t>Sanitized ITGC project evidence, data flow documentation, testing workpapers, access governance review, and privacy assessment artifacts.</t>
  </si>
  <si>
    <t>Total Risks</t>
  </si>
  <si>
    <t>High Risks</t>
  </si>
  <si>
    <t>Medium Risks</t>
  </si>
  <si>
    <t>Low Risks</t>
  </si>
  <si>
    <t>Open / Planned Items</t>
  </si>
  <si>
    <t>Risk ID</t>
  </si>
  <si>
    <t>Related Finding ID</t>
  </si>
  <si>
    <t>Risk Statement</t>
  </si>
  <si>
    <t>Data Element / Workflow</t>
  </si>
  <si>
    <t>Privacy Principle</t>
  </si>
  <si>
    <t>Cause</t>
  </si>
  <si>
    <t>Impact</t>
  </si>
  <si>
    <t>Likelihood</t>
  </si>
  <si>
    <t>Inherent Risk Score</t>
  </si>
  <si>
    <t>Risk Rating</t>
  </si>
  <si>
    <t>Existing Controls</t>
  </si>
  <si>
    <t>Control Gap</t>
  </si>
  <si>
    <t>Recommended Mitigation</t>
  </si>
  <si>
    <t>Owner</t>
  </si>
  <si>
    <t>Residual Risk</t>
  </si>
  <si>
    <t>Status</t>
  </si>
  <si>
    <t>Evidence Reference</t>
  </si>
  <si>
    <t>Notes</t>
  </si>
  <si>
    <t>PR-001</t>
  </si>
  <si>
    <t>PF-001</t>
  </si>
  <si>
    <t>There is a risk that direct customer identifiers may not receive consistent protection because selected fields are encrypted while other comparable identifiable fields remain stored in plaintext.</t>
  </si>
  <si>
    <t>First name, last name, address, company information / checkout, reservation, contact workflows</t>
  </si>
  <si>
    <t>Safeguards; Accountability; Limiting Use, Disclosure, and Retention</t>
  </si>
  <si>
    <t>Field-level protection is applied selectively across personal information fields.</t>
  </si>
  <si>
    <t>Email and contact number are encrypted using AES-256-CBC.</t>
  </si>
  <si>
    <t>First name, last name, address, and company information may remain plaintext.</t>
  </si>
  <si>
    <t>Define field-level protection standards for direct identifiers, document encryption coverage, and extend appropriate safeguards based on sensitivity and business need.</t>
  </si>
  <si>
    <t>Application Owner / Technical Owner</t>
  </si>
  <si>
    <t>Medium</t>
  </si>
  <si>
    <t>Planned</t>
  </si>
  <si>
    <t>EV-001, EV-002</t>
  </si>
  <si>
    <t>Use safeguards gap SG-001 as remediation input.</t>
  </si>
  <si>
    <t>PR-002</t>
  </si>
  <si>
    <t>PF-002</t>
  </si>
  <si>
    <t>There is a risk that customer personal information may be accessed beyond operational need because formal RBAC and centralized access governance are not implemented.</t>
  </si>
  <si>
    <t>Reservation records, contact records, order records, payment references / admin and internal access workflow</t>
  </si>
  <si>
    <t>Accountability; Safeguards; Limiting Use, Disclosure, and Retention</t>
  </si>
  <si>
    <t>No formal role model, approval workflow, access review, or need-to-know restriction is documented.</t>
  </si>
  <si>
    <t>Some third-party platforms may have their own account-level controls.</t>
  </si>
  <si>
    <t>Application-level RBAC and centralized access governance are missing.</t>
  </si>
  <si>
    <t>Define roles, implement RBAC for admin/internal access, document approval and revocation, and perform periodic access reviews.</t>
  </si>
  <si>
    <t>Business Owner / Application Owner</t>
  </si>
  <si>
    <t>EV-004</t>
  </si>
  <si>
    <t>Critical privacy governance risk.</t>
  </si>
  <si>
    <t>PR-003</t>
  </si>
  <si>
    <t>There is a risk that broad developer access may expose customer personal information or sensitive credentials because developers may access database, deployment, source code, and environment configurations.</t>
  </si>
  <si>
    <t>MongoDB data, environment variables, source code, deployment configuration / technical access workflow</t>
  </si>
  <si>
    <t>Accountability; Safeguards</t>
  </si>
  <si>
    <t>Developer access extends across multiple system layers without formal restriction or segregation of duties.</t>
  </si>
  <si>
    <t>.env files are excluded from repository and environment variables are used.</t>
  </si>
  <si>
    <t>Developer access to credentials and customer data may be broader than necessary.</t>
  </si>
  <si>
    <t>Restrict production database and environment access, define emergency access, document access owner, and rotate credentials where appropriate.</t>
  </si>
  <si>
    <t>Connects to secrets and SoD controls.</t>
  </si>
  <si>
    <t>PR-004</t>
  </si>
  <si>
    <t>PF-003</t>
  </si>
  <si>
    <t>There is a risk that unauthorized access, modification, export, or deletion of personal information may not be detected because user and administrative activity logging is limited.</t>
  </si>
  <si>
    <t>Customer records, admin actions, access events / logging and monitoring workflow</t>
  </si>
  <si>
    <t>Accountability; Safeguards; Challenging Compliance</t>
  </si>
  <si>
    <t>Logging captures system events but does not provide structured user/admin activity audit trails.</t>
  </si>
  <si>
    <t>Winston logging captures errors, system events, and selected activity.</t>
  </si>
  <si>
    <t>No dedicated logging for personal information access, export, modification, deletion, or admin actions.</t>
  </si>
  <si>
    <t>Implement structured logging for access to personal information, admin actions, exports, deletions, permission changes, and log retention.</t>
  </si>
  <si>
    <t>Technical Owner / Privacy Reviewer</t>
  </si>
  <si>
    <t>EV-005</t>
  </si>
  <si>
    <t>Supports incident investigation and challenge handling.</t>
  </si>
  <si>
    <t>PR-005</t>
  </si>
  <si>
    <t>PF-004</t>
  </si>
  <si>
    <t>There is a risk that third-party payment processing accountability may be incomplete because Stripe processing boundaries and internally retained payment metadata are not fully documented.</t>
  </si>
  <si>
    <t>Payment status, Stripe transaction reference, order record, customer identifiers / checkout and payment workflow</t>
  </si>
  <si>
    <t>Accountability; Openness; Safeguards; Limiting Use, Disclosure, and Retention</t>
  </si>
  <si>
    <t>Stripe hosted checkout is used but vendor processing documentation and retained internal payment metadata mapping require centralization.</t>
  </si>
  <si>
    <t>Stripe hosted checkout processes payment details externally and full cardholder data is not assessed as stored internally.</t>
  </si>
  <si>
    <t>Vendor processing boundary, access ownership, retained metadata, and evidence tracking are incomplete.</t>
  </si>
  <si>
    <t>Create Stripe processing record, vendor inventory entry, internal retained payment metadata list, access owner record, and evidence references.</t>
  </si>
  <si>
    <t>Vendor / Third-Party Owner</t>
  </si>
  <si>
    <t>Low to Medium</t>
  </si>
  <si>
    <t>EV-003, EV-006</t>
  </si>
  <si>
    <t>Do not claim Stripe audit or PCI certification.</t>
  </si>
  <si>
    <t>PR-006</t>
  </si>
  <si>
    <t>PF-005</t>
  </si>
  <si>
    <t>There is a risk that personal information may be retained longer than necessary because retention periods and deletion triggers are not fully documented across database, email, logs, and payment references.</t>
  </si>
  <si>
    <t>Reservations, contact messages, orders, payment references, emails, logs / retention workflow</t>
  </si>
  <si>
    <t>Limiting Use, Disclosure, and Retention; Accountability; Openness</t>
  </si>
  <si>
    <t>No centralized retention and deletion matrix is documented for key record types.</t>
  </si>
  <si>
    <t>Operational records exist for booking, communication, payment reconciliation, and troubleshooting.</t>
  </si>
  <si>
    <t>Retention periods, deletion triggers, and record owner expectations are incomplete.</t>
  </si>
  <si>
    <t>Create retention and deletion matrix covering reservations, contact messages, orders, payment references, email records, and logs.</t>
  </si>
  <si>
    <t>Privacy Reviewer / Business Owner</t>
  </si>
  <si>
    <t>EV-006</t>
  </si>
  <si>
    <t>Use no fixed retention period unless supported by policy.</t>
  </si>
  <si>
    <t>PR-007</t>
  </si>
  <si>
    <t>PF-004, PF-006</t>
  </si>
  <si>
    <t>There is a risk that vendor accountability evidence may be insufficient because active third-party services are used without centralized vendor review evidence.</t>
  </si>
  <si>
    <t>Stripe, Gmail SMTP, Cloudinary, Render, GitHub / vendor dependency workflow</t>
  </si>
  <si>
    <t>Accountability; Safeguards; Openness</t>
  </si>
  <si>
    <t>Third-party services are active, but formal vendor risk assessment and monitoring evidence are not centralized.</t>
  </si>
  <si>
    <t>Vendor platforms provide service-specific functions and may have platform-level controls.</t>
  </si>
  <si>
    <t>Vendor role, data involved, terms reference, owner, review date, and monitoring notes are incomplete.</t>
  </si>
  <si>
    <t>Build vendor inventory with privacy notes, data elements, owners, terms references, and periodic review evidence.</t>
  </si>
  <si>
    <t>EV-003</t>
  </si>
  <si>
    <t>Stripe-specific assessment is handled separately in file 08.</t>
  </si>
  <si>
    <t>PR-008</t>
  </si>
  <si>
    <t>PF-007</t>
  </si>
  <si>
    <t>There is a risk that unreviewed application changes may affect personal information handling because changes can be deployed without formal approval, pull request review, or staging validation.</t>
  </si>
  <si>
    <t>All personal information processed by reservation, contact, checkout, payment, logging, and email workflows / change governance workflow</t>
  </si>
  <si>
    <t>Formal change approval, branch protection, pull request review, and staging validation are not implemented or not evidenced.</t>
  </si>
  <si>
    <t>GitHub and Render support source control and deployment workflow.</t>
  </si>
  <si>
    <t>Changes affecting personal information systems may be deployed without privacy or safeguard review.</t>
  </si>
  <si>
    <t>Implement pull request review, branch protection, staging validation, deployment evidence, and privacy review for data handling changes.</t>
  </si>
  <si>
    <t>EV-002, EV-004</t>
  </si>
  <si>
    <t>Connects ITGC change risk to privacy safeguards.</t>
  </si>
  <si>
    <t>PR-009</t>
  </si>
  <si>
    <t>There is a risk that contact form free-text submissions may collect unexpected personal information because customers can enter unrestricted message content.</t>
  </si>
  <si>
    <t>Contact message content / contact form workflow</t>
  </si>
  <si>
    <t>Limiting Collection; Safeguards; Limiting Use, Disclosure, and Retention</t>
  </si>
  <si>
    <t>Free-text field may capture information beyond the minimum needed to respond to an inquiry.</t>
  </si>
  <si>
    <t>Contact form supports customer inquiry handling.</t>
  </si>
  <si>
    <t>No documented guidance, minimization note, review process, or retention rule for free-text messages.</t>
  </si>
  <si>
    <t>Add clear form guidance, avoid requesting sensitive information, review retention, and limit access to contact messages.</t>
  </si>
  <si>
    <t>Business Owner / Privacy Reviewer</t>
  </si>
  <si>
    <t>EV-001, EV-006</t>
  </si>
  <si>
    <t>Good data minimization risk example.</t>
  </si>
  <si>
    <t>PR-010</t>
  </si>
  <si>
    <t>There is a risk that transactional emails may duplicate personal information outside the main database because confirmation or contact emails can include customer and order details.</t>
  </si>
  <si>
    <t>Email address, name, address, reservation details, order information / email communication workflow</t>
  </si>
  <si>
    <t>Limiting Use, Disclosure, and Retention; Safeguards; Openness</t>
  </si>
  <si>
    <t>Transactional email content and mailbox retention are not centrally mapped to database retention rules.</t>
  </si>
  <si>
    <t>Gmail SMTP is used for transactional communications.</t>
  </si>
  <si>
    <t>Email retention, template minimization, and mailbox access governance may be incomplete.</t>
  </si>
  <si>
    <t>Map personal information in email templates, minimize unnecessary fields, align retention expectations, and include Gmail access in access reviews.</t>
  </si>
  <si>
    <t>EV-002, EV-006</t>
  </si>
  <si>
    <t>Supports email privacy governance.</t>
  </si>
  <si>
    <t>PR-011</t>
  </si>
  <si>
    <t>PF-006</t>
  </si>
  <si>
    <t>There is a risk that privacy accountability may be difficult to demonstrate because evidence references, findings, risks, remediation actions, and closure criteria are not fully centralized.</t>
  </si>
  <si>
    <t>All assessed personal information and evidence records / evidence traceability workflow</t>
  </si>
  <si>
    <t>Accountability; Challenging Compliance; Safeguards</t>
  </si>
  <si>
    <t>Privacy evidence is distributed across data models, workflow notes, access reviews, logs, and remediation records.</t>
  </si>
  <si>
    <t>Assessment artifacts and sanitized evidence references exist.</t>
  </si>
  <si>
    <t>A centralized evidence index should link findings, data elements, risks, mitigations, and closure criteria.</t>
  </si>
  <si>
    <t>Maintain an evidence index and link every risk to source evidence, owner, remediation action, and closure criteria.</t>
  </si>
  <si>
    <t>Privacy Reviewer</t>
  </si>
  <si>
    <t>Low</t>
  </si>
  <si>
    <t>EV-001, EV-002, EV-003, EV-004, EV-005, EV-006</t>
  </si>
  <si>
    <t>Will connect to 11_Evidence_Index.xlsx.</t>
  </si>
  <si>
    <t>PR-012</t>
  </si>
  <si>
    <t>PF-001, PF-003</t>
  </si>
  <si>
    <t>There is a risk that logs may contain personal information without documented minimization, masking, access restriction, or retention rules.</t>
  </si>
  <si>
    <t>System logs, request metadata, payment/reservation activity, CSRF events / logging and monitoring workflow</t>
  </si>
  <si>
    <t>Safeguards; Limiting Collection; Limiting Use, Disclosure, and Retention</t>
  </si>
  <si>
    <t>Logs may capture partially masked PII or technical metadata, while log governance is not fully documented.</t>
  </si>
  <si>
    <t>Winston logs system-level events and some activity.</t>
  </si>
  <si>
    <t>Log content minimization, access control, and retention are not fully documented.</t>
  </si>
  <si>
    <t>Review log fields, avoid unnecessary PII, apply masking, define log access controls, and document log retention.</t>
  </si>
  <si>
    <t>EV-005, EV-006</t>
  </si>
  <si>
    <t>Balances logging need with minimization.</t>
  </si>
  <si>
    <t>Section</t>
  </si>
  <si>
    <t>Description</t>
  </si>
  <si>
    <t>Define the qualitative scoring method used in the Privacy Risk Register.</t>
  </si>
  <si>
    <t>Impact 1</t>
  </si>
  <si>
    <t>Minimal privacy impact. Limited operational inconvenience and low sensitivity.</t>
  </si>
  <si>
    <t>Impact 2</t>
  </si>
  <si>
    <t>Low privacy impact. Limited identifiable information and limited exposure.</t>
  </si>
  <si>
    <t>Impact 3</t>
  </si>
  <si>
    <t>Moderate privacy impact. Personal information could be exposed, retained, or accessed beyond expectation.</t>
  </si>
  <si>
    <t>Impact 4</t>
  </si>
  <si>
    <t>Significant privacy impact. Direct identifiers, payment-related metadata, or broad access concerns are involved.</t>
  </si>
  <si>
    <t>Impact 5</t>
  </si>
  <si>
    <t>Severe privacy impact. Sensitive or high-impact personal information exposure, broad unauthorized access, or major accountability failure.</t>
  </si>
  <si>
    <t>Likelihood 1</t>
  </si>
  <si>
    <t>Rare. Control environment makes occurrence unlikely.</t>
  </si>
  <si>
    <t>Likelihood 2</t>
  </si>
  <si>
    <t>Unlikely. Some controls exist but gaps remain.</t>
  </si>
  <si>
    <t>Likelihood 3</t>
  </si>
  <si>
    <t>Possible. Gaps exist and the event could occur under normal operating conditions.</t>
  </si>
  <si>
    <t>Likelihood 4</t>
  </si>
  <si>
    <t>Likely. Control gaps are known and could reasonably lead to occurrence.</t>
  </si>
  <si>
    <t>Likelihood 5</t>
  </si>
  <si>
    <t>Almost certain. Missing controls or repeated exposure make occurrence highly likely.</t>
  </si>
  <si>
    <t>Risk Score Formula</t>
  </si>
  <si>
    <t>Impact multiplied by Likelihood.</t>
  </si>
  <si>
    <t>Risk Rating Rule</t>
  </si>
  <si>
    <t>High if score is 16 or higher, Medium if score is 8 to 15, Low if score is below 8.</t>
  </si>
  <si>
    <t>Directional estimate after recommended mitigation. Not a formal quantitative risk calculation.</t>
  </si>
  <si>
    <t>This scoring is for portfolio assessment and privacy risk documentation. It does not certify compliance or represent a regulatory risk model.</t>
  </si>
  <si>
    <t>List Name</t>
  </si>
  <si>
    <t>Value</t>
  </si>
  <si>
    <t>High</t>
  </si>
  <si>
    <t>Open</t>
  </si>
  <si>
    <t>In Progress</t>
  </si>
  <si>
    <t>Blocked</t>
  </si>
  <si>
    <t>Closed</t>
  </si>
  <si>
    <t>Business Owner</t>
  </si>
  <si>
    <t>Application Owner</t>
  </si>
  <si>
    <t>Technical Owner</t>
  </si>
  <si>
    <t>Finding ID</t>
  </si>
  <si>
    <t>PIPEDA Principle</t>
  </si>
  <si>
    <t>Accountability</t>
  </si>
  <si>
    <t>Identifying Purposes</t>
  </si>
  <si>
    <t>Consent</t>
  </si>
  <si>
    <t>Limiting Collection</t>
  </si>
  <si>
    <t>Limiting Use, Disclosure, and Retention</t>
  </si>
  <si>
    <t>Accuracy</t>
  </si>
  <si>
    <t>Safeguards</t>
  </si>
  <si>
    <t>Openness</t>
  </si>
  <si>
    <t>Individual Access</t>
  </si>
  <si>
    <t>Challenging Compliance</t>
  </si>
  <si>
    <t>Evidence ID</t>
  </si>
  <si>
    <t>Evidence Name</t>
  </si>
  <si>
    <t>Supports Risk Areas</t>
  </si>
  <si>
    <t>EV-001</t>
  </si>
  <si>
    <t>Sanitized data model reference</t>
  </si>
  <si>
    <t>Field-level protection, data elements, plaintext/encrypted field distinction</t>
  </si>
  <si>
    <t>Supports PF-001 and PR-001.</t>
  </si>
  <si>
    <t>EV-002</t>
  </si>
  <si>
    <t>Sanitized application workflow reference</t>
  </si>
  <si>
    <t>Reservation, checkout, contact, payment, order, email flows</t>
  </si>
  <si>
    <t>Supports workflow and data flow risks.</t>
  </si>
  <si>
    <t>Sanitized vendor dependency reference</t>
  </si>
  <si>
    <t>Stripe, Gmail SMTP, Cloudinary, Render, GitHub, database hosting context</t>
  </si>
  <si>
    <t>Supports vendor and third-party processing risks.</t>
  </si>
  <si>
    <t>Sanitized access review reference</t>
  </si>
  <si>
    <t>Authentication, RBAC, privileged access, access governance, SoD</t>
  </si>
  <si>
    <t>Supports PF-002 and PR-002/PR-003.</t>
  </si>
  <si>
    <t>Sanitized logging review reference</t>
  </si>
  <si>
    <t>Winston logging, missing user/admin activity logging, log governance</t>
  </si>
  <si>
    <t>Supports PF-003 and PR-004/PR-012.</t>
  </si>
  <si>
    <t>Sanitized retention review reference</t>
  </si>
  <si>
    <t>Retention and deletion considerations for records, email, logs, payment references</t>
  </si>
  <si>
    <t>Supports PF-005 and related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</si>
</sst>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  <scheme val="minor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vertical="top" wrapText="1"/>
    </xf>
    <xf numFmtId="0" fontId="2" fillId="0" borderId="0" xfId="0" applyFont="1"/>
    <xf numFmtId="0" fontId="1" fillId="2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2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33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vacyRiskRegister" displayName="PrivacyRiskRegister" ref="A1:R13" headerRowDxfId="32" dataDxfId="31" totalsRowDxfId="30">
  <tableColumns count="18">
    <tableColumn id="1" xr3:uid="{00000000-0010-0000-0000-000001000000}" name="Risk ID" dataDxfId="29"/>
    <tableColumn id="2" xr3:uid="{00000000-0010-0000-0000-000002000000}" name="Related Finding ID" dataDxfId="28"/>
    <tableColumn id="3" xr3:uid="{00000000-0010-0000-0000-000003000000}" name="Risk Statement" dataDxfId="27"/>
    <tableColumn id="4" xr3:uid="{00000000-0010-0000-0000-000004000000}" name="Data Element / Workflow" dataDxfId="26"/>
    <tableColumn id="5" xr3:uid="{00000000-0010-0000-0000-000005000000}" name="Privacy Principle" dataDxfId="25"/>
    <tableColumn id="6" xr3:uid="{00000000-0010-0000-0000-000006000000}" name="Cause" dataDxfId="24"/>
    <tableColumn id="7" xr3:uid="{00000000-0010-0000-0000-000007000000}" name="Impact" dataDxfId="23"/>
    <tableColumn id="8" xr3:uid="{00000000-0010-0000-0000-000008000000}" name="Likelihood" dataDxfId="22"/>
    <tableColumn id="9" xr3:uid="{00000000-0010-0000-0000-000009000000}" name="Inherent Risk Score" dataDxfId="21"/>
    <tableColumn id="10" xr3:uid="{00000000-0010-0000-0000-00000A000000}" name="Risk Rating" dataDxfId="20"/>
    <tableColumn id="11" xr3:uid="{00000000-0010-0000-0000-00000B000000}" name="Existing Controls" dataDxfId="19"/>
    <tableColumn id="12" xr3:uid="{00000000-0010-0000-0000-00000C000000}" name="Control Gap" dataDxfId="18"/>
    <tableColumn id="13" xr3:uid="{00000000-0010-0000-0000-00000D000000}" name="Recommended Mitigation" dataDxfId="17"/>
    <tableColumn id="14" xr3:uid="{00000000-0010-0000-0000-00000E000000}" name="Owner" dataDxfId="16"/>
    <tableColumn id="16" xr3:uid="{00000000-0010-0000-0000-000010000000}" name="Residual Risk" dataDxfId="15"/>
    <tableColumn id="17" xr3:uid="{00000000-0010-0000-0000-000011000000}" name="Status" dataDxfId="14"/>
    <tableColumn id="18" xr3:uid="{00000000-0010-0000-0000-000012000000}" name="Evidence Reference" dataDxfId="13"/>
    <tableColumn id="19" xr3:uid="{00000000-0010-0000-0000-000013000000}" name="Not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Lists" displayName="ReferenceLists" ref="A1:B40" headerRowDxfId="11" dataDxfId="10" totalsRowDxfId="9">
  <tableColumns count="2">
    <tableColumn id="1" xr3:uid="{00000000-0010-0000-0100-000001000000}" name="List Name" dataDxfId="8"/>
    <tableColumn id="2" xr3:uid="{00000000-0010-0000-0100-000002000000}" name="Valu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Map" displayName="EvidenceMap" ref="A1:D7" headerRowDxfId="6" dataDxfId="5" totalsRowDxfId="4">
  <tableColumns count="4">
    <tableColumn id="1" xr3:uid="{00000000-0010-0000-0200-000001000000}" name="Evidence ID" dataDxfId="3"/>
    <tableColumn id="2" xr3:uid="{00000000-0010-0000-0200-000002000000}" name="Evidence Name" dataDxfId="2"/>
    <tableColumn id="3" xr3:uid="{00000000-0010-0000-0200-000003000000}" name="Supports Risk Areas" dataDxfId="1"/>
    <tableColumn id="4" xr3:uid="{00000000-0010-0000-0200-000004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1" sqref="A1:B12"/>
    </sheetView>
  </sheetViews>
  <sheetFormatPr defaultRowHeight="14.25"/>
  <cols>
    <col min="1" max="1" width="25" customWidth="1"/>
    <col min="2" max="2" width="95" customWidth="1"/>
  </cols>
  <sheetData>
    <row r="1" spans="1:2" ht="38.1" customHeight="1">
      <c r="A1" s="1" t="s">
        <v>0</v>
      </c>
      <c r="B1" s="2" t="s">
        <v>1</v>
      </c>
    </row>
    <row r="2" spans="1:2" ht="38.1" customHeight="1">
      <c r="A2" s="1" t="s">
        <v>2</v>
      </c>
      <c r="B2" s="2" t="s">
        <v>3</v>
      </c>
    </row>
    <row r="3" spans="1:2" ht="38.1" customHeight="1">
      <c r="A3" s="1" t="s">
        <v>4</v>
      </c>
      <c r="B3" s="2" t="s">
        <v>5</v>
      </c>
    </row>
    <row r="4" spans="1:2" ht="38.1" customHeight="1">
      <c r="A4" s="1" t="s">
        <v>6</v>
      </c>
      <c r="B4" s="2" t="s">
        <v>7</v>
      </c>
    </row>
    <row r="5" spans="1:2" ht="38.1" customHeight="1">
      <c r="A5" s="1" t="s">
        <v>8</v>
      </c>
      <c r="B5" s="2" t="s">
        <v>9</v>
      </c>
    </row>
    <row r="6" spans="1:2" ht="38.1" customHeight="1">
      <c r="A6" s="1" t="s">
        <v>10</v>
      </c>
      <c r="B6" s="2" t="s">
        <v>11</v>
      </c>
    </row>
    <row r="7" spans="1:2" ht="38.1" customHeight="1">
      <c r="A7" s="1" t="s">
        <v>12</v>
      </c>
      <c r="B7" s="2" t="s">
        <v>13</v>
      </c>
    </row>
    <row r="8" spans="1:2" ht="38.1" customHeight="1">
      <c r="A8" s="1" t="s">
        <v>14</v>
      </c>
      <c r="B8" s="2">
        <f>COUNTA(Risk_Register!A2:A100)</f>
        <v>12</v>
      </c>
    </row>
    <row r="9" spans="1:2" ht="38.1" customHeight="1">
      <c r="A9" s="1" t="s">
        <v>15</v>
      </c>
      <c r="B9" s="2">
        <f>COUNTIF(Risk_Register!J2:J100,"High")</f>
        <v>4</v>
      </c>
    </row>
    <row r="10" spans="1:2" ht="38.1" customHeight="1">
      <c r="A10" s="1" t="s">
        <v>16</v>
      </c>
      <c r="B10" s="2">
        <f>COUNTIF(Risk_Register!J2:J100,"Medium")</f>
        <v>8</v>
      </c>
    </row>
    <row r="11" spans="1:2" ht="38.1" customHeight="1">
      <c r="A11" s="1" t="s">
        <v>17</v>
      </c>
      <c r="B11" s="2">
        <f>COUNTIF(Risk_Register!J2:J100,"Low")</f>
        <v>0</v>
      </c>
    </row>
    <row r="12" spans="1:2" ht="38.1" customHeight="1">
      <c r="A12" s="1" t="s">
        <v>18</v>
      </c>
      <c r="B12" s="2">
        <f>COUNTIF(Risk_Register!P2:P100,"Planned")+COUNTIF(Risk_Register!P2:P100,"Open")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tabSelected="1" topLeftCell="M6" workbookViewId="0">
      <selection activeCell="T3" sqref="T3"/>
    </sheetView>
  </sheetViews>
  <sheetFormatPr defaultRowHeight="15"/>
  <cols>
    <col min="1" max="1" width="12" style="5" customWidth="1"/>
    <col min="2" max="2" width="18" style="5" customWidth="1"/>
    <col min="3" max="3" width="55" style="5" customWidth="1"/>
    <col min="4" max="4" width="38" style="5" customWidth="1"/>
    <col min="5" max="5" width="35" style="5" customWidth="1"/>
    <col min="6" max="6" width="45" style="5" customWidth="1"/>
    <col min="7" max="7" width="9" style="5" customWidth="1"/>
    <col min="8" max="8" width="11" style="5" customWidth="1"/>
    <col min="9" max="10" width="14" style="5" customWidth="1"/>
    <col min="11" max="12" width="45" style="5" customWidth="1"/>
    <col min="13" max="13" width="55" style="5" customWidth="1"/>
    <col min="14" max="14" width="26" style="5" customWidth="1"/>
    <col min="15" max="15" width="16" style="5" customWidth="1"/>
    <col min="16" max="16" width="14" style="5" customWidth="1"/>
    <col min="17" max="17" width="22" style="5" customWidth="1"/>
    <col min="18" max="18" width="35" style="5" customWidth="1"/>
    <col min="19" max="16384" width="9" style="5"/>
  </cols>
  <sheetData>
    <row r="1" spans="1:18" ht="38.1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</row>
    <row r="2" spans="1:18" ht="72" customHeight="1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4">
        <v>4</v>
      </c>
      <c r="H2" s="4">
        <v>4</v>
      </c>
      <c r="I2" s="4">
        <f t="shared" ref="I2:I13" si="0">G2*H2</f>
        <v>16</v>
      </c>
      <c r="J2" s="2" t="str">
        <f t="shared" ref="J2:J13" si="1">IF(I2&gt;=16,"High",IF(I2&gt;=8,"Medium","Low"))</f>
        <v>High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</row>
    <row r="3" spans="1:18" ht="72" customHeight="1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4">
        <v>5</v>
      </c>
      <c r="H3" s="4">
        <v>4</v>
      </c>
      <c r="I3" s="4">
        <f t="shared" si="0"/>
        <v>20</v>
      </c>
      <c r="J3" s="2" t="str">
        <f t="shared" si="1"/>
        <v>High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47</v>
      </c>
      <c r="P3" s="2" t="s">
        <v>48</v>
      </c>
      <c r="Q3" s="2" t="s">
        <v>61</v>
      </c>
      <c r="R3" s="2" t="s">
        <v>62</v>
      </c>
    </row>
    <row r="4" spans="1:18" ht="72" customHeight="1">
      <c r="A4" s="2" t="s">
        <v>63</v>
      </c>
      <c r="B4" s="2" t="s">
        <v>52</v>
      </c>
      <c r="C4" s="2" t="s">
        <v>64</v>
      </c>
      <c r="D4" s="2" t="s">
        <v>65</v>
      </c>
      <c r="E4" s="2" t="s">
        <v>66</v>
      </c>
      <c r="F4" s="2" t="s">
        <v>67</v>
      </c>
      <c r="G4" s="4">
        <v>5</v>
      </c>
      <c r="H4" s="4">
        <v>4</v>
      </c>
      <c r="I4" s="4">
        <f t="shared" si="0"/>
        <v>20</v>
      </c>
      <c r="J4" s="2" t="str">
        <f t="shared" si="1"/>
        <v>High</v>
      </c>
      <c r="K4" s="2" t="s">
        <v>68</v>
      </c>
      <c r="L4" s="2" t="s">
        <v>69</v>
      </c>
      <c r="M4" s="2" t="s">
        <v>70</v>
      </c>
      <c r="N4" s="2" t="s">
        <v>46</v>
      </c>
      <c r="O4" s="2" t="s">
        <v>47</v>
      </c>
      <c r="P4" s="2" t="s">
        <v>48</v>
      </c>
      <c r="Q4" s="2" t="s">
        <v>61</v>
      </c>
      <c r="R4" s="2" t="s">
        <v>71</v>
      </c>
    </row>
    <row r="5" spans="1:18" ht="72" customHeight="1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4">
        <v>5</v>
      </c>
      <c r="H5" s="4">
        <v>4</v>
      </c>
      <c r="I5" s="4">
        <f t="shared" si="0"/>
        <v>20</v>
      </c>
      <c r="J5" s="2" t="str">
        <f t="shared" si="1"/>
        <v>High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47</v>
      </c>
      <c r="P5" s="2" t="s">
        <v>48</v>
      </c>
      <c r="Q5" s="2" t="s">
        <v>82</v>
      </c>
      <c r="R5" s="2" t="s">
        <v>83</v>
      </c>
    </row>
    <row r="6" spans="1:18" ht="72" customHeight="1">
      <c r="A6" s="2" t="s">
        <v>84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89</v>
      </c>
      <c r="G6" s="4">
        <v>4</v>
      </c>
      <c r="H6" s="4">
        <v>3</v>
      </c>
      <c r="I6" s="4">
        <f t="shared" si="0"/>
        <v>12</v>
      </c>
      <c r="J6" s="2" t="str">
        <f t="shared" si="1"/>
        <v>Medium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94</v>
      </c>
      <c r="P6" s="2" t="s">
        <v>48</v>
      </c>
      <c r="Q6" s="2" t="s">
        <v>95</v>
      </c>
      <c r="R6" s="2" t="s">
        <v>96</v>
      </c>
    </row>
    <row r="7" spans="1:18" ht="72" customHeight="1">
      <c r="A7" s="2" t="s">
        <v>97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4">
        <v>4</v>
      </c>
      <c r="H7" s="4">
        <v>3</v>
      </c>
      <c r="I7" s="4">
        <f t="shared" si="0"/>
        <v>12</v>
      </c>
      <c r="J7" s="2" t="str">
        <f t="shared" si="1"/>
        <v>Medium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47</v>
      </c>
      <c r="P7" s="2" t="s">
        <v>48</v>
      </c>
      <c r="Q7" s="2" t="s">
        <v>107</v>
      </c>
      <c r="R7" s="2" t="s">
        <v>108</v>
      </c>
    </row>
    <row r="8" spans="1:18" ht="72" customHeight="1">
      <c r="A8" s="2" t="s">
        <v>109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4">
        <v>4</v>
      </c>
      <c r="H8" s="4">
        <v>3</v>
      </c>
      <c r="I8" s="4">
        <f t="shared" si="0"/>
        <v>12</v>
      </c>
      <c r="J8" s="2" t="str">
        <f t="shared" si="1"/>
        <v>Medium</v>
      </c>
      <c r="K8" s="2" t="s">
        <v>115</v>
      </c>
      <c r="L8" s="2" t="s">
        <v>116</v>
      </c>
      <c r="M8" s="2" t="s">
        <v>117</v>
      </c>
      <c r="N8" s="2" t="s">
        <v>93</v>
      </c>
      <c r="O8" s="2" t="s">
        <v>47</v>
      </c>
      <c r="P8" s="2" t="s">
        <v>48</v>
      </c>
      <c r="Q8" s="2" t="s">
        <v>118</v>
      </c>
      <c r="R8" s="2" t="s">
        <v>119</v>
      </c>
    </row>
    <row r="9" spans="1:18" ht="72" customHeight="1">
      <c r="A9" s="2" t="s">
        <v>120</v>
      </c>
      <c r="B9" s="2" t="s">
        <v>121</v>
      </c>
      <c r="C9" s="2" t="s">
        <v>122</v>
      </c>
      <c r="D9" s="2" t="s">
        <v>123</v>
      </c>
      <c r="E9" s="2" t="s">
        <v>66</v>
      </c>
      <c r="F9" s="2" t="s">
        <v>124</v>
      </c>
      <c r="G9" s="4">
        <v>4</v>
      </c>
      <c r="H9" s="4">
        <v>3</v>
      </c>
      <c r="I9" s="4">
        <f t="shared" si="0"/>
        <v>12</v>
      </c>
      <c r="J9" s="2" t="str">
        <f t="shared" si="1"/>
        <v>Medium</v>
      </c>
      <c r="K9" s="2" t="s">
        <v>125</v>
      </c>
      <c r="L9" s="2" t="s">
        <v>126</v>
      </c>
      <c r="M9" s="2" t="s">
        <v>127</v>
      </c>
      <c r="N9" s="2" t="s">
        <v>46</v>
      </c>
      <c r="O9" s="2" t="s">
        <v>47</v>
      </c>
      <c r="P9" s="2" t="s">
        <v>48</v>
      </c>
      <c r="Q9" s="2" t="s">
        <v>128</v>
      </c>
      <c r="R9" s="2" t="s">
        <v>129</v>
      </c>
    </row>
    <row r="10" spans="1:18" ht="72" customHeight="1">
      <c r="A10" s="2" t="s">
        <v>130</v>
      </c>
      <c r="B10" s="2" t="s">
        <v>98</v>
      </c>
      <c r="C10" s="2" t="s">
        <v>131</v>
      </c>
      <c r="D10" s="2" t="s">
        <v>132</v>
      </c>
      <c r="E10" s="2" t="s">
        <v>133</v>
      </c>
      <c r="F10" s="2" t="s">
        <v>134</v>
      </c>
      <c r="G10" s="4">
        <v>3</v>
      </c>
      <c r="H10" s="4">
        <v>3</v>
      </c>
      <c r="I10" s="4">
        <f t="shared" si="0"/>
        <v>9</v>
      </c>
      <c r="J10" s="2" t="str">
        <f t="shared" si="1"/>
        <v>Medium</v>
      </c>
      <c r="K10" s="2" t="s">
        <v>135</v>
      </c>
      <c r="L10" s="2" t="s">
        <v>136</v>
      </c>
      <c r="M10" s="2" t="s">
        <v>137</v>
      </c>
      <c r="N10" s="2" t="s">
        <v>138</v>
      </c>
      <c r="O10" s="2" t="s">
        <v>94</v>
      </c>
      <c r="P10" s="2" t="s">
        <v>48</v>
      </c>
      <c r="Q10" s="2" t="s">
        <v>139</v>
      </c>
      <c r="R10" s="2" t="s">
        <v>140</v>
      </c>
    </row>
    <row r="11" spans="1:18" ht="72" customHeight="1">
      <c r="A11" s="2" t="s">
        <v>141</v>
      </c>
      <c r="B11" s="2" t="s">
        <v>98</v>
      </c>
      <c r="C11" s="2" t="s">
        <v>142</v>
      </c>
      <c r="D11" s="2" t="s">
        <v>143</v>
      </c>
      <c r="E11" s="2" t="s">
        <v>144</v>
      </c>
      <c r="F11" s="2" t="s">
        <v>145</v>
      </c>
      <c r="G11" s="4">
        <v>3</v>
      </c>
      <c r="H11" s="4">
        <v>3</v>
      </c>
      <c r="I11" s="4">
        <f t="shared" si="0"/>
        <v>9</v>
      </c>
      <c r="J11" s="2" t="str">
        <f t="shared" si="1"/>
        <v>Medium</v>
      </c>
      <c r="K11" s="2" t="s">
        <v>146</v>
      </c>
      <c r="L11" s="2" t="s">
        <v>147</v>
      </c>
      <c r="M11" s="2" t="s">
        <v>148</v>
      </c>
      <c r="N11" s="2" t="s">
        <v>138</v>
      </c>
      <c r="O11" s="2" t="s">
        <v>94</v>
      </c>
      <c r="P11" s="2" t="s">
        <v>48</v>
      </c>
      <c r="Q11" s="2" t="s">
        <v>149</v>
      </c>
      <c r="R11" s="2" t="s">
        <v>150</v>
      </c>
    </row>
    <row r="12" spans="1:18" ht="72" customHeight="1">
      <c r="A12" s="2" t="s">
        <v>151</v>
      </c>
      <c r="B12" s="2" t="s">
        <v>152</v>
      </c>
      <c r="C12" s="2" t="s">
        <v>153</v>
      </c>
      <c r="D12" s="2" t="s">
        <v>154</v>
      </c>
      <c r="E12" s="2" t="s">
        <v>155</v>
      </c>
      <c r="F12" s="2" t="s">
        <v>156</v>
      </c>
      <c r="G12" s="4">
        <v>3</v>
      </c>
      <c r="H12" s="4">
        <v>3</v>
      </c>
      <c r="I12" s="4">
        <f t="shared" si="0"/>
        <v>9</v>
      </c>
      <c r="J12" s="2" t="str">
        <f t="shared" si="1"/>
        <v>Medium</v>
      </c>
      <c r="K12" s="2" t="s">
        <v>157</v>
      </c>
      <c r="L12" s="2" t="s">
        <v>158</v>
      </c>
      <c r="M12" s="2" t="s">
        <v>159</v>
      </c>
      <c r="N12" s="2" t="s">
        <v>160</v>
      </c>
      <c r="O12" s="2" t="s">
        <v>161</v>
      </c>
      <c r="P12" s="2" t="s">
        <v>48</v>
      </c>
      <c r="Q12" s="2" t="s">
        <v>162</v>
      </c>
      <c r="R12" s="2" t="s">
        <v>163</v>
      </c>
    </row>
    <row r="13" spans="1:18" ht="72" customHeight="1">
      <c r="A13" s="2" t="s">
        <v>164</v>
      </c>
      <c r="B13" s="2" t="s">
        <v>165</v>
      </c>
      <c r="C13" s="2" t="s">
        <v>166</v>
      </c>
      <c r="D13" s="2" t="s">
        <v>167</v>
      </c>
      <c r="E13" s="2" t="s">
        <v>168</v>
      </c>
      <c r="F13" s="2" t="s">
        <v>169</v>
      </c>
      <c r="G13" s="4">
        <v>3</v>
      </c>
      <c r="H13" s="4">
        <v>3</v>
      </c>
      <c r="I13" s="4">
        <f t="shared" si="0"/>
        <v>9</v>
      </c>
      <c r="J13" s="2" t="str">
        <f t="shared" si="1"/>
        <v>Medium</v>
      </c>
      <c r="K13" s="2" t="s">
        <v>170</v>
      </c>
      <c r="L13" s="2" t="s">
        <v>171</v>
      </c>
      <c r="M13" s="2" t="s">
        <v>172</v>
      </c>
      <c r="N13" s="2" t="s">
        <v>81</v>
      </c>
      <c r="O13" s="2" t="s">
        <v>94</v>
      </c>
      <c r="P13" s="2" t="s">
        <v>48</v>
      </c>
      <c r="Q13" s="2" t="s">
        <v>173</v>
      </c>
      <c r="R13" s="2" t="s">
        <v>174</v>
      </c>
    </row>
  </sheetData>
  <dataValidations count="2">
    <dataValidation type="list" sqref="P2:P13" xr:uid="{00000000-0002-0000-0100-000000000000}">
      <formula1>"Open,Planned,In Progress,Blocked,Closed"</formula1>
    </dataValidation>
    <dataValidation type="list" sqref="O2:O13" xr:uid="{00000000-0002-0000-0100-000001000000}">
      <formula1>"High,Medium,Low,Low to Medium"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opLeftCell="A9" workbookViewId="0">
      <selection activeCell="B7" sqref="B7"/>
    </sheetView>
  </sheetViews>
  <sheetFormatPr defaultRowHeight="14.25"/>
  <cols>
    <col min="1" max="1" width="25" customWidth="1"/>
    <col min="2" max="2" width="100" customWidth="1"/>
  </cols>
  <sheetData>
    <row r="1" spans="1:2" ht="35.1" customHeight="1">
      <c r="A1" s="6" t="s">
        <v>175</v>
      </c>
      <c r="B1" s="6" t="s">
        <v>176</v>
      </c>
    </row>
    <row r="2" spans="1:2" ht="35.1" customHeight="1">
      <c r="A2" s="7" t="s">
        <v>4</v>
      </c>
      <c r="B2" s="7" t="s">
        <v>177</v>
      </c>
    </row>
    <row r="3" spans="1:2" ht="35.1" customHeight="1">
      <c r="A3" s="7" t="s">
        <v>178</v>
      </c>
      <c r="B3" s="7" t="s">
        <v>179</v>
      </c>
    </row>
    <row r="4" spans="1:2" ht="35.1" customHeight="1">
      <c r="A4" s="7" t="s">
        <v>180</v>
      </c>
      <c r="B4" s="7" t="s">
        <v>181</v>
      </c>
    </row>
    <row r="5" spans="1:2" ht="35.1" customHeight="1">
      <c r="A5" s="7" t="s">
        <v>182</v>
      </c>
      <c r="B5" s="7" t="s">
        <v>183</v>
      </c>
    </row>
    <row r="6" spans="1:2" ht="35.1" customHeight="1">
      <c r="A6" s="7" t="s">
        <v>184</v>
      </c>
      <c r="B6" s="7" t="s">
        <v>185</v>
      </c>
    </row>
    <row r="7" spans="1:2" ht="35.1" customHeight="1">
      <c r="A7" s="7" t="s">
        <v>186</v>
      </c>
      <c r="B7" s="7" t="s">
        <v>187</v>
      </c>
    </row>
    <row r="8" spans="1:2" ht="35.1" customHeight="1">
      <c r="A8" s="7" t="s">
        <v>188</v>
      </c>
      <c r="B8" s="7" t="s">
        <v>189</v>
      </c>
    </row>
    <row r="9" spans="1:2" ht="35.1" customHeight="1">
      <c r="A9" s="7" t="s">
        <v>190</v>
      </c>
      <c r="B9" s="7" t="s">
        <v>191</v>
      </c>
    </row>
    <row r="10" spans="1:2" ht="35.1" customHeight="1">
      <c r="A10" s="7" t="s">
        <v>192</v>
      </c>
      <c r="B10" s="7" t="s">
        <v>193</v>
      </c>
    </row>
    <row r="11" spans="1:2" ht="35.1" customHeight="1">
      <c r="A11" s="7" t="s">
        <v>194</v>
      </c>
      <c r="B11" s="7" t="s">
        <v>195</v>
      </c>
    </row>
    <row r="12" spans="1:2" ht="35.1" customHeight="1">
      <c r="A12" s="7" t="s">
        <v>196</v>
      </c>
      <c r="B12" s="7" t="s">
        <v>197</v>
      </c>
    </row>
    <row r="13" spans="1:2" ht="35.1" customHeight="1">
      <c r="A13" s="7" t="s">
        <v>198</v>
      </c>
      <c r="B13" s="7" t="s">
        <v>199</v>
      </c>
    </row>
    <row r="14" spans="1:2" ht="35.1" customHeight="1">
      <c r="A14" s="7" t="s">
        <v>200</v>
      </c>
      <c r="B14" s="7" t="s">
        <v>201</v>
      </c>
    </row>
    <row r="15" spans="1:2" ht="35.1" customHeight="1">
      <c r="A15" s="7" t="s">
        <v>33</v>
      </c>
      <c r="B15" s="7" t="s">
        <v>202</v>
      </c>
    </row>
    <row r="16" spans="1:2" ht="35.1" customHeight="1">
      <c r="A16" s="7" t="s">
        <v>10</v>
      </c>
      <c r="B16" s="7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"/>
  <sheetViews>
    <sheetView topLeftCell="A20" workbookViewId="0">
      <selection sqref="A1:B40"/>
    </sheetView>
  </sheetViews>
  <sheetFormatPr defaultRowHeight="14.25"/>
  <cols>
    <col min="1" max="2" width="35" customWidth="1"/>
  </cols>
  <sheetData>
    <row r="1" spans="1:2" ht="15">
      <c r="A1" s="8" t="s">
        <v>204</v>
      </c>
      <c r="B1" s="8" t="s">
        <v>205</v>
      </c>
    </row>
    <row r="2" spans="1:2" ht="15">
      <c r="A2" s="9" t="s">
        <v>28</v>
      </c>
      <c r="B2" s="9" t="s">
        <v>206</v>
      </c>
    </row>
    <row r="3" spans="1:2" ht="15">
      <c r="A3" s="9" t="s">
        <v>28</v>
      </c>
      <c r="B3" s="9" t="s">
        <v>47</v>
      </c>
    </row>
    <row r="4" spans="1:2" ht="15">
      <c r="A4" s="9" t="s">
        <v>28</v>
      </c>
      <c r="B4" s="9" t="s">
        <v>161</v>
      </c>
    </row>
    <row r="5" spans="1:2" ht="15">
      <c r="A5" s="9" t="s">
        <v>33</v>
      </c>
      <c r="B5" s="9" t="s">
        <v>206</v>
      </c>
    </row>
    <row r="6" spans="1:2" ht="15">
      <c r="A6" s="9" t="s">
        <v>33</v>
      </c>
      <c r="B6" s="9" t="s">
        <v>47</v>
      </c>
    </row>
    <row r="7" spans="1:2" ht="15">
      <c r="A7" s="9" t="s">
        <v>33</v>
      </c>
      <c r="B7" s="9" t="s">
        <v>161</v>
      </c>
    </row>
    <row r="8" spans="1:2" ht="15">
      <c r="A8" s="9" t="s">
        <v>33</v>
      </c>
      <c r="B8" s="9" t="s">
        <v>94</v>
      </c>
    </row>
    <row r="9" spans="1:2" ht="15">
      <c r="A9" s="9" t="s">
        <v>34</v>
      </c>
      <c r="B9" s="9" t="s">
        <v>207</v>
      </c>
    </row>
    <row r="10" spans="1:2" ht="15">
      <c r="A10" s="9" t="s">
        <v>34</v>
      </c>
      <c r="B10" s="9" t="s">
        <v>48</v>
      </c>
    </row>
    <row r="11" spans="1:2" ht="15">
      <c r="A11" s="9" t="s">
        <v>34</v>
      </c>
      <c r="B11" s="9" t="s">
        <v>208</v>
      </c>
    </row>
    <row r="12" spans="1:2" ht="15">
      <c r="A12" s="9" t="s">
        <v>34</v>
      </c>
      <c r="B12" s="9" t="s">
        <v>209</v>
      </c>
    </row>
    <row r="13" spans="1:2" ht="15">
      <c r="A13" s="9" t="s">
        <v>34</v>
      </c>
      <c r="B13" s="9" t="s">
        <v>210</v>
      </c>
    </row>
    <row r="14" spans="1:2" ht="15">
      <c r="A14" s="9" t="s">
        <v>32</v>
      </c>
      <c r="B14" s="9" t="s">
        <v>211</v>
      </c>
    </row>
    <row r="15" spans="1:2" ht="15">
      <c r="A15" s="9" t="s">
        <v>32</v>
      </c>
      <c r="B15" s="9" t="s">
        <v>212</v>
      </c>
    </row>
    <row r="16" spans="1:2" ht="15">
      <c r="A16" s="9" t="s">
        <v>32</v>
      </c>
      <c r="B16" s="9" t="s">
        <v>213</v>
      </c>
    </row>
    <row r="17" spans="1:2" ht="15">
      <c r="A17" s="9" t="s">
        <v>32</v>
      </c>
      <c r="B17" s="9" t="s">
        <v>160</v>
      </c>
    </row>
    <row r="18" spans="1:2" ht="15">
      <c r="A18" s="9" t="s">
        <v>32</v>
      </c>
      <c r="B18" s="9" t="s">
        <v>93</v>
      </c>
    </row>
    <row r="19" spans="1:2" ht="15">
      <c r="A19" s="9" t="s">
        <v>32</v>
      </c>
      <c r="B19" s="9" t="s">
        <v>60</v>
      </c>
    </row>
    <row r="20" spans="1:2" ht="15">
      <c r="A20" s="9" t="s">
        <v>32</v>
      </c>
      <c r="B20" s="9" t="s">
        <v>46</v>
      </c>
    </row>
    <row r="21" spans="1:2" ht="15">
      <c r="A21" s="9" t="s">
        <v>32</v>
      </c>
      <c r="B21" s="9" t="s">
        <v>81</v>
      </c>
    </row>
    <row r="22" spans="1:2" ht="15">
      <c r="A22" s="9" t="s">
        <v>32</v>
      </c>
      <c r="B22" s="9" t="s">
        <v>106</v>
      </c>
    </row>
    <row r="23" spans="1:2" ht="15">
      <c r="A23" s="9" t="s">
        <v>32</v>
      </c>
      <c r="B23" s="9" t="s">
        <v>138</v>
      </c>
    </row>
    <row r="24" spans="1:2" ht="15">
      <c r="A24" s="9" t="s">
        <v>214</v>
      </c>
      <c r="B24" s="9" t="s">
        <v>38</v>
      </c>
    </row>
    <row r="25" spans="1:2" ht="15">
      <c r="A25" s="9" t="s">
        <v>214</v>
      </c>
      <c r="B25" s="9" t="s">
        <v>52</v>
      </c>
    </row>
    <row r="26" spans="1:2" ht="15">
      <c r="A26" s="9" t="s">
        <v>214</v>
      </c>
      <c r="B26" s="9" t="s">
        <v>73</v>
      </c>
    </row>
    <row r="27" spans="1:2" ht="15">
      <c r="A27" s="9" t="s">
        <v>214</v>
      </c>
      <c r="B27" s="9" t="s">
        <v>85</v>
      </c>
    </row>
    <row r="28" spans="1:2" ht="15">
      <c r="A28" s="9" t="s">
        <v>214</v>
      </c>
      <c r="B28" s="9" t="s">
        <v>98</v>
      </c>
    </row>
    <row r="29" spans="1:2" ht="15">
      <c r="A29" s="9" t="s">
        <v>214</v>
      </c>
      <c r="B29" s="9" t="s">
        <v>152</v>
      </c>
    </row>
    <row r="30" spans="1:2" ht="15">
      <c r="A30" s="9" t="s">
        <v>214</v>
      </c>
      <c r="B30" s="9" t="s">
        <v>121</v>
      </c>
    </row>
    <row r="31" spans="1:2" ht="15">
      <c r="A31" s="9" t="s">
        <v>215</v>
      </c>
      <c r="B31" s="9" t="s">
        <v>216</v>
      </c>
    </row>
    <row r="32" spans="1:2" ht="15">
      <c r="A32" s="9" t="s">
        <v>215</v>
      </c>
      <c r="B32" s="9" t="s">
        <v>217</v>
      </c>
    </row>
    <row r="33" spans="1:2" ht="15">
      <c r="A33" s="9" t="s">
        <v>215</v>
      </c>
      <c r="B33" s="9" t="s">
        <v>218</v>
      </c>
    </row>
    <row r="34" spans="1:2" ht="15">
      <c r="A34" s="9" t="s">
        <v>215</v>
      </c>
      <c r="B34" s="9" t="s">
        <v>219</v>
      </c>
    </row>
    <row r="35" spans="1:2" ht="15">
      <c r="A35" s="9" t="s">
        <v>215</v>
      </c>
      <c r="B35" s="9" t="s">
        <v>220</v>
      </c>
    </row>
    <row r="36" spans="1:2" ht="15">
      <c r="A36" s="9" t="s">
        <v>215</v>
      </c>
      <c r="B36" s="9" t="s">
        <v>221</v>
      </c>
    </row>
    <row r="37" spans="1:2" ht="15">
      <c r="A37" s="9" t="s">
        <v>215</v>
      </c>
      <c r="B37" s="9" t="s">
        <v>222</v>
      </c>
    </row>
    <row r="38" spans="1:2" ht="15">
      <c r="A38" s="9" t="s">
        <v>215</v>
      </c>
      <c r="B38" s="9" t="s">
        <v>223</v>
      </c>
    </row>
    <row r="39" spans="1:2" ht="15">
      <c r="A39" s="9" t="s">
        <v>215</v>
      </c>
      <c r="B39" s="9" t="s">
        <v>224</v>
      </c>
    </row>
    <row r="40" spans="1:2" ht="15">
      <c r="A40" s="9" t="s">
        <v>215</v>
      </c>
      <c r="B40" s="9" t="s">
        <v>225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sqref="A1:D7"/>
    </sheetView>
  </sheetViews>
  <sheetFormatPr defaultRowHeight="14.25"/>
  <cols>
    <col min="1" max="1" width="14" customWidth="1"/>
    <col min="2" max="2" width="38" customWidth="1"/>
    <col min="3" max="3" width="60" customWidth="1"/>
    <col min="4" max="4" width="50" customWidth="1"/>
  </cols>
  <sheetData>
    <row r="1" spans="1:4" ht="44.1" customHeight="1">
      <c r="A1" s="10" t="s">
        <v>226</v>
      </c>
      <c r="B1" s="10" t="s">
        <v>227</v>
      </c>
      <c r="C1" s="10" t="s">
        <v>228</v>
      </c>
      <c r="D1" s="10" t="s">
        <v>36</v>
      </c>
    </row>
    <row r="2" spans="1:4" ht="44.1" customHeight="1">
      <c r="A2" s="7" t="s">
        <v>229</v>
      </c>
      <c r="B2" s="7" t="s">
        <v>230</v>
      </c>
      <c r="C2" s="7" t="s">
        <v>231</v>
      </c>
      <c r="D2" s="7" t="s">
        <v>232</v>
      </c>
    </row>
    <row r="3" spans="1:4" ht="44.1" customHeight="1">
      <c r="A3" s="7" t="s">
        <v>233</v>
      </c>
      <c r="B3" s="7" t="s">
        <v>234</v>
      </c>
      <c r="C3" s="7" t="s">
        <v>235</v>
      </c>
      <c r="D3" s="7" t="s">
        <v>236</v>
      </c>
    </row>
    <row r="4" spans="1:4" ht="44.1" customHeight="1">
      <c r="A4" s="7" t="s">
        <v>118</v>
      </c>
      <c r="B4" s="7" t="s">
        <v>237</v>
      </c>
      <c r="C4" s="7" t="s">
        <v>238</v>
      </c>
      <c r="D4" s="7" t="s">
        <v>239</v>
      </c>
    </row>
    <row r="5" spans="1:4" ht="44.1" customHeight="1">
      <c r="A5" s="7" t="s">
        <v>61</v>
      </c>
      <c r="B5" s="7" t="s">
        <v>240</v>
      </c>
      <c r="C5" s="7" t="s">
        <v>241</v>
      </c>
      <c r="D5" s="7" t="s">
        <v>242</v>
      </c>
    </row>
    <row r="6" spans="1:4" ht="44.1" customHeight="1">
      <c r="A6" s="7" t="s">
        <v>82</v>
      </c>
      <c r="B6" s="7" t="s">
        <v>243</v>
      </c>
      <c r="C6" s="7" t="s">
        <v>244</v>
      </c>
      <c r="D6" s="7" t="s">
        <v>245</v>
      </c>
    </row>
    <row r="7" spans="1:4" ht="44.1" customHeight="1">
      <c r="A7" s="7" t="s">
        <v>107</v>
      </c>
      <c r="B7" s="7" t="s">
        <v>246</v>
      </c>
      <c r="C7" s="7" t="s">
        <v>247</v>
      </c>
      <c r="D7" s="7" t="s">
        <v>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2026-06-17T18:52:27Z</dcterms:created>
  <dcterms:modified xsi:type="dcterms:W3CDTF">2026-06-17T18:57:01Z</dcterms:modified>
  <cp:category/>
  <cp:contentStatus/>
</cp:coreProperties>
</file>