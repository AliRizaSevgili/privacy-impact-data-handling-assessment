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6" documentId="11_951A96E8C680E4702D0D5694A72EDEA08B444810" xr6:coauthVersionLast="47" xr6:coauthVersionMax="47" xr10:uidLastSave="{6654E6D6-19F3-4F6B-BFE1-A29BE1CA1AF3}"/>
  <bookViews>
    <workbookView xWindow="0" yWindow="0" windowWidth="0" windowHeight="0" activeTab="3" xr2:uid="{00000000-000D-0000-FFFF-FFFF00000000}"/>
  </bookViews>
  <sheets>
    <sheet name="Summary" sheetId="1" r:id="rId1"/>
    <sheet name="Remediation_Tracker" sheetId="2" r:id="rId2"/>
    <sheet name="Reference_Lists" sheetId="3" r:id="rId3"/>
    <sheet name="Evidence_Map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H9" i="1"/>
  <c r="B9" i="1"/>
  <c r="H8" i="1"/>
  <c r="B8" i="1"/>
  <c r="H7" i="1"/>
  <c r="E7" i="1"/>
  <c r="B7" i="1"/>
  <c r="H6" i="1"/>
  <c r="E6" i="1"/>
  <c r="H5" i="1"/>
  <c r="E5" i="1"/>
</calcChain>
</file>

<file path=xl/sharedStrings.xml><?xml version="1.0" encoding="utf-8"?>
<sst xmlns="http://schemas.openxmlformats.org/spreadsheetml/2006/main" count="345" uniqueCount="252">
  <si>
    <t>Privacy Impact &amp; Data Handling Risk Assessment: Customer-Facing Reservation Platform</t>
  </si>
  <si>
    <t>10_Remediation_Tracker.xlsx</t>
  </si>
  <si>
    <t>Purpose</t>
  </si>
  <si>
    <t>Track remediation actions for privacy risks and safeguards gaps identified in the assessment.</t>
  </si>
  <si>
    <t>Priority</t>
  </si>
  <si>
    <t>Count</t>
  </si>
  <si>
    <t>Status</t>
  </si>
  <si>
    <t>Scope</t>
  </si>
  <si>
    <t>Access governance, safeguards, logging, vendor processing, retention, change governance, evidence traceability, incident readiness.</t>
  </si>
  <si>
    <t>High</t>
  </si>
  <si>
    <t>Proposed</t>
  </si>
  <si>
    <t>Important limitation</t>
  </si>
  <si>
    <t>This tracker documents proposed remediation actions only. It does not certify implementation or legal compliance.</t>
  </si>
  <si>
    <t>Medium</t>
  </si>
  <si>
    <t>Not Started</t>
  </si>
  <si>
    <t>Total remediation items</t>
  </si>
  <si>
    <t>Low</t>
  </si>
  <si>
    <t>In Progress</t>
  </si>
  <si>
    <t>High priority</t>
  </si>
  <si>
    <t>Blocked</t>
  </si>
  <si>
    <t>Medium priority</t>
  </si>
  <si>
    <t>Closed</t>
  </si>
  <si>
    <t>Low priority</t>
  </si>
  <si>
    <t>Proposed status</t>
  </si>
  <si>
    <t>Open or in progress</t>
  </si>
  <si>
    <t>Charter alignment note</t>
  </si>
  <si>
    <t>This remediation tracker aligns with the project charter by converting privacy findings into trackable actions with priority, owner, target date, status, evidence required, closure criteria, and follow-up notes. It avoids compliance certification language and remains a sanitized portfolio artifact.</t>
  </si>
  <si>
    <t>No real customer data, credentials, confidential production screenshots, vendor contracts, or proprietary implementation details are included.</t>
  </si>
  <si>
    <t>Remediation items are proposed actions based on privacy-relevant interpretation of system and control observations. Closure requires evidence and review.</t>
  </si>
  <si>
    <t>Remediation ID</t>
  </si>
  <si>
    <t>Related Risk / Finding</t>
  </si>
  <si>
    <t>Affected Workflow</t>
  </si>
  <si>
    <t>Related Data Element</t>
  </si>
  <si>
    <t>Recommended Action</t>
  </si>
  <si>
    <t>Privacy Principle</t>
  </si>
  <si>
    <t>Owner</t>
  </si>
  <si>
    <t>Evidence Required</t>
  </si>
  <si>
    <t>Closure Criteria</t>
  </si>
  <si>
    <t>Follow-Up Notes</t>
  </si>
  <si>
    <t>Evidence Reference</t>
  </si>
  <si>
    <t>RM-001</t>
  </si>
  <si>
    <t>PR-001 / PF-001</t>
  </si>
  <si>
    <t>Reservation, checkout, contact</t>
  </si>
  <si>
    <t>First name, last name, address, company information</t>
  </si>
  <si>
    <t>Define documented field-level protection requirements for direct identifiers and determine which fields require encryption, masking, access restriction, or compensating safeguards.</t>
  </si>
  <si>
    <t>Safeguards; Accountability</t>
  </si>
  <si>
    <t>Privacy Reviewer / Technical Owner</t>
  </si>
  <si>
    <t>Field protection standard; updated data inventory; technical review note</t>
  </si>
  <si>
    <t>Protection requirements are documented for each direct identifier and mapped to safeguards or approved compensating controls.</t>
  </si>
  <si>
    <t>Confirm whether address and company fields require encryption or alternative safeguards based on sensitivity and use.</t>
  </si>
  <si>
    <t>EV-001, EV-002</t>
  </si>
  <si>
    <t>RM-002</t>
  </si>
  <si>
    <t>MongoDB data storage</t>
  </si>
  <si>
    <t>Review plaintext direct identifier fields and update the data model or storage approach to apply appropriate protection consistently across comparable personal information fields.</t>
  </si>
  <si>
    <t>Safeguards</t>
  </si>
  <si>
    <t>Technical Owner</t>
  </si>
  <si>
    <t>Updated data model evidence; encryption or masking test evidence</t>
  </si>
  <si>
    <t>Selected direct identifier fields have documented protection, technical test evidence, and privacy reviewer sign-off.</t>
  </si>
  <si>
    <t>Do not claim full encryption coverage until validated through testing evidence.</t>
  </si>
  <si>
    <t>EV-001</t>
  </si>
  <si>
    <t>RM-003</t>
  </si>
  <si>
    <t>PR-002 / PF-002</t>
  </si>
  <si>
    <t>Admin / internal access</t>
  </si>
  <si>
    <t>Reservation records, contact records, order records, payment references</t>
  </si>
  <si>
    <t>Define privacy-relevant access roles for customer records and document need-to-know access for reservation, contact, order, payment reference, and logging data.</t>
  </si>
  <si>
    <t>Accountability; Safeguards; Limiting Use, Disclosure, and Retention</t>
  </si>
  <si>
    <t>Application Owner / Privacy Reviewer</t>
  </si>
  <si>
    <t>Access role matrix; role description document</t>
  </si>
  <si>
    <t>Access roles, permitted data categories, and business justification are documented and approved.</t>
  </si>
  <si>
    <t>This is documentation and design remediation first, not proof that RBAC has been technically enforced.</t>
  </si>
  <si>
    <t>EV-004</t>
  </si>
  <si>
    <t>RM-004</t>
  </si>
  <si>
    <t>Customer records and admin functions</t>
  </si>
  <si>
    <t>Implement RBAC or equivalent access restriction for administrative functions that allow access to personal information.</t>
  </si>
  <si>
    <t>Technical Owner / Application Owner</t>
  </si>
  <si>
    <t>RBAC configuration evidence; route protection evidence; access test evidence</t>
  </si>
  <si>
    <t>Admin functions require authenticated and authorized access based on documented roles.</t>
  </si>
  <si>
    <t>Technical implementation should be tested before marking closed.</t>
  </si>
  <si>
    <t>RM-005</t>
  </si>
  <si>
    <t>PR-003 / PF-002</t>
  </si>
  <si>
    <t>Developer privileged access</t>
  </si>
  <si>
    <t>Database records, environment variables, deployment configuration</t>
  </si>
  <si>
    <t>Restrict developer privileged access to production database, environment variables, deployment settings, and customer data based on documented operational need.</t>
  </si>
  <si>
    <t>Accountability; Safeguards</t>
  </si>
  <si>
    <t>Application Owner / Technical Owner</t>
  </si>
  <si>
    <t>Privileged access review; access revocation or restriction evidence</t>
  </si>
  <si>
    <t>Developer access is reviewed, approved, restricted where possible, and documented with business justification.</t>
  </si>
  <si>
    <t>If full restriction is not practical, compensating monitoring and approval controls should be documented.</t>
  </si>
  <si>
    <t>RM-006</t>
  </si>
  <si>
    <t>Access governance</t>
  </si>
  <si>
    <t>Stripe, Gmail, Cloudinary, GitHub, Render, MongoDB</t>
  </si>
  <si>
    <t>Create a periodic access review process covering application data, database access, deployment access, source control, and third-party platforms.</t>
  </si>
  <si>
    <t>Business Owner / Application Owner</t>
  </si>
  <si>
    <t>Access review template; completed sample review; exception log</t>
  </si>
  <si>
    <t>A review process exists and records access owner, role, business need, review result, and remediation actions.</t>
  </si>
  <si>
    <t>Include Founder and Developer access across third-party platforms.</t>
  </si>
  <si>
    <t>RM-007</t>
  </si>
  <si>
    <t>PR-004 / PF-003</t>
  </si>
  <si>
    <t>Logging / monitoring</t>
  </si>
  <si>
    <t>Customer record access events and admin actions</t>
  </si>
  <si>
    <t>Implement structured logging for access to personal information, administrative actions, exports, deletions, and permission changes.</t>
  </si>
  <si>
    <t>Accountability; Safeguards; Challenging Compliance</t>
  </si>
  <si>
    <t>Logging configuration evidence; sample sanitized log entries</t>
  </si>
  <si>
    <t>Logs capture privacy-relevant access and administrative actions without unnecessary personal information.</t>
  </si>
  <si>
    <t>Logging should support investigation but avoid creating excessive personal information in logs.</t>
  </si>
  <si>
    <t>EV-005</t>
  </si>
  <si>
    <t>RM-008</t>
  </si>
  <si>
    <t>PR-012 / PF-003</t>
  </si>
  <si>
    <t>Application logs and technical metadata</t>
  </si>
  <si>
    <t>Define log retention, access restriction, and minimization rules for system logs that may contain personal information or technical metadata.</t>
  </si>
  <si>
    <t>Limiting Use, Disclosure, and Retention; Safeguards</t>
  </si>
  <si>
    <t>Technical Owner / Privacy Reviewer</t>
  </si>
  <si>
    <t>Log retention note; log minimization review; access restriction evidence</t>
  </si>
  <si>
    <t>Log retention period, access roles, minimization controls, and deletion trigger are documented.</t>
  </si>
  <si>
    <t>Coordinate with incident investigation needs before reducing log retention.</t>
  </si>
  <si>
    <t>EV-005, EV-006</t>
  </si>
  <si>
    <t>RM-009</t>
  </si>
  <si>
    <t>PR-005 / PF-004</t>
  </si>
  <si>
    <t>Checkout / payment</t>
  </si>
  <si>
    <t>Payment status, Stripe transaction reference, order record</t>
  </si>
  <si>
    <t>Create a Stripe processing record documenting business purpose, data elements processed externally, data retained internally, access owner, and evidence references.</t>
  </si>
  <si>
    <t>Accountability; Openness; Limiting Use, Disclosure, and Retention</t>
  </si>
  <si>
    <t>Vendor / Third-Party Owner / Privacy Reviewer</t>
  </si>
  <si>
    <t>Stripe processing record; vendor inventory entry</t>
  </si>
  <si>
    <t>Stripe processing boundary and internal retained payment metadata are documented and linked to evidence.</t>
  </si>
  <si>
    <t>This does not audit Stripe internal controls.</t>
  </si>
  <si>
    <t>EV-003</t>
  </si>
  <si>
    <t>RM-010</t>
  </si>
  <si>
    <t>PR-007 / PF-004</t>
  </si>
  <si>
    <t>Vendor processing</t>
  </si>
  <si>
    <t>Stripe, Gmail, Cloudinary, Render, GitHub</t>
  </si>
  <si>
    <t>Create a vendor inventory with privacy-relevant data processing notes, business purpose, access owner, and review frequency for active third-party services.</t>
  </si>
  <si>
    <t>Accountability; Openness; Safeguards</t>
  </si>
  <si>
    <t>Vendor / Third-Party Owner</t>
  </si>
  <si>
    <t>Vendor inventory; terms reference log; review notes</t>
  </si>
  <si>
    <t>Each active vendor has a documented role, data involvement, owner, and evidence reference.</t>
  </si>
  <si>
    <t>Avoid claiming formal vendor audit unless reviewed evidence supports it.</t>
  </si>
  <si>
    <t>RM-011</t>
  </si>
  <si>
    <t>PR-006 / PF-005</t>
  </si>
  <si>
    <t>Retention and deletion</t>
  </si>
  <si>
    <t>Reservations, contacts, orders, payment references, emails, logs</t>
  </si>
  <si>
    <t>Create a retention and deletion matrix for reservation records, contact messages, order records, payment references, email records, and logs.</t>
  </si>
  <si>
    <t>Limiting Use, Disclosure, and Retention; Accountability; Openness</t>
  </si>
  <si>
    <t>Privacy Reviewer / Business Owner</t>
  </si>
  <si>
    <t>Retention matrix; deletion trigger documentation</t>
  </si>
  <si>
    <t>Retention category, business purpose, deletion trigger, exception handling, and owner are documented for each record type.</t>
  </si>
  <si>
    <t>Do not invent legal retention periods without source support.</t>
  </si>
  <si>
    <t>EV-006</t>
  </si>
  <si>
    <t>RM-012</t>
  </si>
  <si>
    <t>PR-009 / PF-005</t>
  </si>
  <si>
    <t>Contact form</t>
  </si>
  <si>
    <t>Contact message content</t>
  </si>
  <si>
    <t>Review contact form instructions and fields to reduce unnecessary free-text personal information collection.</t>
  </si>
  <si>
    <t>Limiting Collection; Safeguards</t>
  </si>
  <si>
    <t>Privacy Reviewer / Application Owner</t>
  </si>
  <si>
    <t>Updated form copy; data minimization review note</t>
  </si>
  <si>
    <t>Contact form includes clear instructions limiting unnecessary sensitive or unrelated personal information.</t>
  </si>
  <si>
    <t>Free-text fields cannot be fully controlled, so monitoring and retention remain relevant.</t>
  </si>
  <si>
    <t>EV-002, EV-006</t>
  </si>
  <si>
    <t>RM-013</t>
  </si>
  <si>
    <t>PR-010 / PF-005</t>
  </si>
  <si>
    <t>Email communication</t>
  </si>
  <si>
    <t>Transactional emails and inquiry responses</t>
  </si>
  <si>
    <t>Review transactional email templates to minimize unnecessary personal information and align email retention expectations with database retention rules.</t>
  </si>
  <si>
    <t>Business Owner / Privacy Reviewer</t>
  </si>
  <si>
    <t>Email template review; email retention note</t>
  </si>
  <si>
    <t>Email templates use only necessary data and email retention expectations are documented.</t>
  </si>
  <si>
    <t>Include order confirmations, contact replies, and checkout-related notifications.</t>
  </si>
  <si>
    <t>RM-014</t>
  </si>
  <si>
    <t>PR-008 / PF-007</t>
  </si>
  <si>
    <t>Change management</t>
  </si>
  <si>
    <t>Application workflows processing personal information</t>
  </si>
  <si>
    <t>Implement privacy review checkpoints for changes affecting personal information collection, storage, access, retention, logging, or vendor processing.</t>
  </si>
  <si>
    <t>Change review checklist; pull request review evidence; deployment approval evidence</t>
  </si>
  <si>
    <t>Changes affecting personal information include review evidence before production deployment.</t>
  </si>
  <si>
    <t>This supplements technical change management and does not replace full SDLC controls.</t>
  </si>
  <si>
    <t>EV-002</t>
  </si>
  <si>
    <t>RM-015</t>
  </si>
  <si>
    <t>PR-003 / PF-001, PF-002</t>
  </si>
  <si>
    <t>Secrets management</t>
  </si>
  <si>
    <t>Stripe keys, database credentials, email credentials, Cloudinary keys</t>
  </si>
  <si>
    <t>Restrict access to secrets, document secret owners, review deployment environment access, and rotate credentials where appropriate.</t>
  </si>
  <si>
    <t>Secrets access review; credential owner list; rotation evidence where applicable</t>
  </si>
  <si>
    <t>Secrets access is limited, documented, and reviewed with evidence of owner and access justification.</t>
  </si>
  <si>
    <t>Do not include actual secrets in evidence artifacts.</t>
  </si>
  <si>
    <t>RM-016</t>
  </si>
  <si>
    <t>PR-011 / PF-006</t>
  </si>
  <si>
    <t>Evidence traceability</t>
  </si>
  <si>
    <t>All assessed privacy findings and remediation records</t>
  </si>
  <si>
    <t>Centralize privacy evidence references linking data elements, findings, risk statements, remediation actions, owners, status, and closure criteria.</t>
  </si>
  <si>
    <t>Accountability; Challenging Compliance; Safeguards</t>
  </si>
  <si>
    <t>Privacy Reviewer</t>
  </si>
  <si>
    <t>Evidence index; remediation tracker; finding-to-evidence mapping</t>
  </si>
  <si>
    <t>Each remediation item links to supporting evidence and has documented closure criteria.</t>
  </si>
  <si>
    <t>This remediation is closed only when 11_Evidence_Index.xlsx is completed and cross-referenced.</t>
  </si>
  <si>
    <t>EV-001, EV-002, EV-003, EV-004, EV-005, EV-006</t>
  </si>
  <si>
    <t>RM-017</t>
  </si>
  <si>
    <t>Incident readiness</t>
  </si>
  <si>
    <t>Affected personal information, logs, access paths, vendor events</t>
  </si>
  <si>
    <t>Create a privacy incident triage template covering affected data, safeguards involved, access path, containment action, real risk of significant harm awareness, and evidence preservation.</t>
  </si>
  <si>
    <t>Privacy incident triage template; breach recordkeeping note</t>
  </si>
  <si>
    <t>Incident triage fields are documented and connected to logs, evidence, and remediation actions.</t>
  </si>
  <si>
    <t>This is not a claim that a full breach response program is implemented.</t>
  </si>
  <si>
    <t>Evidence ID</t>
  </si>
  <si>
    <t>Finding ID</t>
  </si>
  <si>
    <t>Finding Title</t>
  </si>
  <si>
    <t>Accountability</t>
  </si>
  <si>
    <t>PF-001</t>
  </si>
  <si>
    <t>Inconsistent Field-Level Protection</t>
  </si>
  <si>
    <t>Business Owner</t>
  </si>
  <si>
    <t>Identifying Purposes</t>
  </si>
  <si>
    <t>PF-002</t>
  </si>
  <si>
    <t>RBAC / Access Limitation Gap</t>
  </si>
  <si>
    <t>Application Owner</t>
  </si>
  <si>
    <t>Consent</t>
  </si>
  <si>
    <t>PF-003</t>
  </si>
  <si>
    <t>Limited Audit Logging</t>
  </si>
  <si>
    <t>Limiting Collection</t>
  </si>
  <si>
    <t>PF-004</t>
  </si>
  <si>
    <t>Stripe Third-Party Processing Dependency</t>
  </si>
  <si>
    <t>Limiting Use, Disclosure, and Retention</t>
  </si>
  <si>
    <t>PF-005</t>
  </si>
  <si>
    <t>Retention / Deletion Documentation Incomplete</t>
  </si>
  <si>
    <t>Deferred</t>
  </si>
  <si>
    <t>Accuracy</t>
  </si>
  <si>
    <t>PF-006</t>
  </si>
  <si>
    <t>Evidence Traceability Gap</t>
  </si>
  <si>
    <t>PF-007</t>
  </si>
  <si>
    <t>Change Management Risk for Systems Handling Personal Information</t>
  </si>
  <si>
    <t>Openness</t>
  </si>
  <si>
    <t>Challenging Compliance</t>
  </si>
  <si>
    <t>Evidence Name</t>
  </si>
  <si>
    <t>Supports Remediation Area</t>
  </si>
  <si>
    <t>Notes</t>
  </si>
  <si>
    <t>Sanitized data model reference</t>
  </si>
  <si>
    <t>Field-level protection, data model review, encryption coverage</t>
  </si>
  <si>
    <t>Supports remediation for PF-001 and direct identifier protection.</t>
  </si>
  <si>
    <t>Sanitized application workflow reference</t>
  </si>
  <si>
    <t>Reservation, contact, checkout, payment, email, change review</t>
  </si>
  <si>
    <t>Supports workflow and data flow based remediation actions.</t>
  </si>
  <si>
    <t>Sanitized vendor dependency reference</t>
  </si>
  <si>
    <t>Stripe, Gmail, Cloudinary, Render, GitHub, database hosting</t>
  </si>
  <si>
    <t>Supports vendor inventory and processing boundary actions.</t>
  </si>
  <si>
    <t>Sanitized access review reference</t>
  </si>
  <si>
    <t>RBAC, privileged access, access reviews, secrets access</t>
  </si>
  <si>
    <t>Supports access governance and secrets remediation actions.</t>
  </si>
  <si>
    <t>Sanitized logging review reference</t>
  </si>
  <si>
    <t>User/admin activity logging, log retention, incident investigation</t>
  </si>
  <si>
    <t>Supports logging and incident readiness remediation actions.</t>
  </si>
  <si>
    <t>Sanitized retention review reference</t>
  </si>
  <si>
    <t>Retention/deletion matrix, email records, logs, payment references</t>
  </si>
  <si>
    <t>Supports retention and deletion remediation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</si>
</sst>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name val="Aptos"/>
    </font>
    <font>
      <b/>
      <sz val="10"/>
      <color rgb="FFFFFFFF"/>
      <name val="Aptos"/>
    </font>
    <font>
      <b/>
      <sz val="14"/>
      <color rgb="FFFFFFFF"/>
      <name val="Calibri"/>
      <scheme val="minor"/>
    </font>
    <font>
      <sz val="10"/>
      <name val="Calibri"/>
      <scheme val="minor"/>
    </font>
    <font>
      <sz val="11"/>
      <name val="Calibri"/>
      <scheme val="minor"/>
    </font>
    <font>
      <b/>
      <sz val="12"/>
      <color rgb="FF000000"/>
      <name val="Calibri"/>
      <scheme val="minor"/>
    </font>
    <font>
      <b/>
      <sz val="10"/>
      <name val="Calibri"/>
      <scheme val="minor"/>
    </font>
    <font>
      <b/>
      <sz val="10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/>
    <xf numFmtId="0" fontId="2" fillId="2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/>
    <xf numFmtId="0" fontId="6" fillId="3" borderId="1" xfId="0" applyNumberFormat="1" applyFont="1" applyFill="1" applyBorder="1" applyAlignment="1">
      <alignment horizontal="center"/>
    </xf>
    <xf numFmtId="0" fontId="7" fillId="4" borderId="1" xfId="0" applyNumberFormat="1" applyFont="1" applyFill="1" applyBorder="1"/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27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Remediation Items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Summary!$D$5:$D$7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Summary!$E$5:$E$7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B-4652-9BB0-3EAC6AD4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Remediation Items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Summary!$G$5:$G$9</c:f>
              <c:strCache>
                <c:ptCount val="5"/>
                <c:pt idx="0">
                  <c:v>Proposed</c:v>
                </c:pt>
                <c:pt idx="1">
                  <c:v>Not Started</c:v>
                </c:pt>
                <c:pt idx="2">
                  <c:v>In Progress</c:v>
                </c:pt>
                <c:pt idx="3">
                  <c:v>Blocked</c:v>
                </c:pt>
                <c:pt idx="4">
                  <c:v>Closed</c:v>
                </c:pt>
              </c:strCache>
            </c:strRef>
          </c:cat>
          <c:val>
            <c:numRef>
              <c:f>Summary!$H$5:$H$9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3-403F-97E0-A83BFE4EC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mediationTrackerTable" displayName="RemediationTrackerTable" ref="A1:M18" dataDxfId="20">
  <tableColumns count="13">
    <tableColumn id="1" xr3:uid="{00000000-0010-0000-0000-000001000000}" name="Remediation ID" dataDxfId="19"/>
    <tableColumn id="2" xr3:uid="{00000000-0010-0000-0000-000002000000}" name="Related Risk / Finding" dataDxfId="18"/>
    <tableColumn id="3" xr3:uid="{00000000-0010-0000-0000-000003000000}" name="Affected Workflow" dataDxfId="17"/>
    <tableColumn id="4" xr3:uid="{00000000-0010-0000-0000-000004000000}" name="Related Data Element" dataDxfId="16"/>
    <tableColumn id="5" xr3:uid="{00000000-0010-0000-0000-000005000000}" name="Recommended Action" dataDxfId="15"/>
    <tableColumn id="6" xr3:uid="{00000000-0010-0000-0000-000006000000}" name="Privacy Principle" dataDxfId="14"/>
    <tableColumn id="7" xr3:uid="{00000000-0010-0000-0000-000007000000}" name="Priority" dataDxfId="13"/>
    <tableColumn id="8" xr3:uid="{00000000-0010-0000-0000-000008000000}" name="Owner" dataDxfId="12"/>
    <tableColumn id="10" xr3:uid="{00000000-0010-0000-0000-00000A000000}" name="Status" dataDxfId="11"/>
    <tableColumn id="11" xr3:uid="{00000000-0010-0000-0000-00000B000000}" name="Evidence Required" dataDxfId="10"/>
    <tableColumn id="12" xr3:uid="{00000000-0010-0000-0000-00000C000000}" name="Closure Criteria" dataDxfId="9"/>
    <tableColumn id="13" xr3:uid="{00000000-0010-0000-0000-00000D000000}" name="Follow-Up Notes" dataDxfId="8"/>
    <tableColumn id="14" xr3:uid="{00000000-0010-0000-0000-00000E000000}" name="Evidence Refer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MapTable" displayName="EvidenceMapTable" ref="A1:D7" headerRowDxfId="6" dataDxfId="5" totalsRowDxfId="4">
  <tableColumns count="4">
    <tableColumn id="1" xr3:uid="{00000000-0010-0000-0100-000001000000}" name="Evidence ID" dataDxfId="3"/>
    <tableColumn id="2" xr3:uid="{00000000-0010-0000-0100-000002000000}" name="Evidence Name" dataDxfId="2"/>
    <tableColumn id="3" xr3:uid="{00000000-0010-0000-0100-000003000000}" name="Supports Remediation Area" dataDxfId="1"/>
    <tableColumn id="4" xr3:uid="{00000000-0010-0000-0100-00000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10" zoomScaleNormal="100" zoomScaleSheetLayoutView="100" workbookViewId="0">
      <selection activeCell="A16" sqref="A16:N16"/>
    </sheetView>
  </sheetViews>
  <sheetFormatPr defaultRowHeight="15"/>
  <cols>
    <col min="1" max="1" width="24" style="3" customWidth="1"/>
    <col min="2" max="2" width="80" style="3" customWidth="1"/>
    <col min="3" max="3" width="9" style="3"/>
    <col min="4" max="5" width="18" style="3" customWidth="1"/>
    <col min="6" max="6" width="9" style="3"/>
    <col min="7" max="8" width="18" style="3" customWidth="1"/>
    <col min="9" max="16384" width="9" style="3"/>
  </cols>
  <sheetData>
    <row r="1" spans="1:26" ht="18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7" t="s">
        <v>2</v>
      </c>
      <c r="B4" s="5" t="s">
        <v>3</v>
      </c>
      <c r="C4" s="5"/>
      <c r="D4" s="8" t="s">
        <v>4</v>
      </c>
      <c r="E4" s="8" t="s">
        <v>5</v>
      </c>
      <c r="F4" s="5"/>
      <c r="G4" s="8" t="s">
        <v>6</v>
      </c>
      <c r="H4" s="8" t="s">
        <v>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7" t="s">
        <v>7</v>
      </c>
      <c r="B5" s="5" t="s">
        <v>8</v>
      </c>
      <c r="C5" s="5"/>
      <c r="D5" s="5" t="s">
        <v>9</v>
      </c>
      <c r="E5" s="5">
        <f>COUNTIF(Remediation_Tracker!G2:G200,"High")</f>
        <v>8</v>
      </c>
      <c r="F5" s="5"/>
      <c r="G5" s="5" t="s">
        <v>10</v>
      </c>
      <c r="H5" s="5">
        <f>COUNTIF(Remediation_Tracker!I2:I200,"Proposed")</f>
        <v>17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7" t="s">
        <v>11</v>
      </c>
      <c r="B6" s="5" t="s">
        <v>12</v>
      </c>
      <c r="C6" s="5"/>
      <c r="D6" s="5" t="s">
        <v>13</v>
      </c>
      <c r="E6" s="5">
        <f>COUNTIF(Remediation_Tracker!G2:G200,"Medium")</f>
        <v>9</v>
      </c>
      <c r="F6" s="5"/>
      <c r="G6" s="5" t="s">
        <v>14</v>
      </c>
      <c r="H6" s="5">
        <f>COUNTIF(Remediation_Tracker!I2:I200,"Not Started")</f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7" t="s">
        <v>15</v>
      </c>
      <c r="B7" s="5">
        <f>COUNTA(Remediation_Tracker!A2:A200)</f>
        <v>17</v>
      </c>
      <c r="C7" s="5"/>
      <c r="D7" s="5" t="s">
        <v>16</v>
      </c>
      <c r="E7" s="5">
        <f>COUNTIF(Remediation_Tracker!G2:G200,"Low")</f>
        <v>0</v>
      </c>
      <c r="F7" s="5"/>
      <c r="G7" s="5" t="s">
        <v>17</v>
      </c>
      <c r="H7" s="5">
        <f>COUNTIF(Remediation_Tracker!I2:I200,"In Progress")</f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7" t="s">
        <v>18</v>
      </c>
      <c r="B8" s="5">
        <f>COUNTIF(Remediation_Tracker!G2:G200,"High")</f>
        <v>8</v>
      </c>
      <c r="C8" s="5"/>
      <c r="D8" s="5"/>
      <c r="E8" s="5"/>
      <c r="F8" s="5"/>
      <c r="G8" s="5" t="s">
        <v>19</v>
      </c>
      <c r="H8" s="5">
        <f>COUNTIF(Remediation_Tracker!I2:I200,"Blocked")</f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7" t="s">
        <v>20</v>
      </c>
      <c r="B9" s="5">
        <f>COUNTIF(Remediation_Tracker!G2:G200,"Medium")</f>
        <v>9</v>
      </c>
      <c r="C9" s="5"/>
      <c r="D9" s="5"/>
      <c r="E9" s="5"/>
      <c r="F9" s="5"/>
      <c r="G9" s="5" t="s">
        <v>21</v>
      </c>
      <c r="H9" s="5">
        <f>COUNTIF(Remediation_Tracker!I2:I200,"Closed")</f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7" t="s">
        <v>22</v>
      </c>
      <c r="B10" s="5">
        <f>COUNTIF(Remediation_Tracker!G2:G200,"Low")</f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7" t="s">
        <v>23</v>
      </c>
      <c r="B11" s="5">
        <f>COUNTIF(Remediation_Tracker!I2:I200,"Proposed")</f>
        <v>17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7" t="s">
        <v>24</v>
      </c>
      <c r="B12" s="5">
        <f>COUNTIF(Remediation_Tracker!I2:I200,"In Progress")+COUNTIF(Remediation_Tracker!I2:I200,"Not Started")</f>
        <v>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9" t="s">
        <v>25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9.950000000000003" customHeight="1">
      <c r="A16" s="10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9.950000000000003" customHeight="1">
      <c r="A17" s="10" t="s">
        <v>27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9.950000000000003" customHeight="1">
      <c r="A18" s="10" t="s">
        <v>28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6">
    <mergeCell ref="A18:N18"/>
    <mergeCell ref="A1:N1"/>
    <mergeCell ref="A2:N2"/>
    <mergeCell ref="A15:N15"/>
    <mergeCell ref="A16:N16"/>
    <mergeCell ref="A17:N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0"/>
  <sheetViews>
    <sheetView zoomScaleNormal="100" zoomScaleSheetLayoutView="100" workbookViewId="0">
      <selection activeCell="A2" sqref="A2:M18"/>
    </sheetView>
  </sheetViews>
  <sheetFormatPr defaultRowHeight="14.25" customHeight="1"/>
  <cols>
    <col min="1" max="1" width="14" customWidth="1"/>
    <col min="2" max="2" width="20" customWidth="1"/>
    <col min="3" max="3" width="22" customWidth="1"/>
    <col min="4" max="4" width="28" customWidth="1"/>
    <col min="5" max="5" width="44" customWidth="1"/>
    <col min="6" max="6" width="28" customWidth="1"/>
    <col min="7" max="7" width="12" customWidth="1"/>
    <col min="8" max="8" width="26" customWidth="1"/>
    <col min="9" max="9" width="14" customWidth="1"/>
    <col min="10" max="10" width="36" customWidth="1"/>
    <col min="11" max="12" width="42" customWidth="1"/>
    <col min="13" max="13" width="18" customWidth="1"/>
  </cols>
  <sheetData>
    <row r="1" spans="1:25" ht="1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4</v>
      </c>
      <c r="H1" s="2" t="s">
        <v>35</v>
      </c>
      <c r="I1" s="2" t="s">
        <v>6</v>
      </c>
      <c r="J1" s="2" t="s">
        <v>36</v>
      </c>
      <c r="K1" s="2" t="s">
        <v>37</v>
      </c>
      <c r="L1" s="2" t="s">
        <v>38</v>
      </c>
      <c r="M1" s="2" t="s">
        <v>39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69.95" customHeight="1">
      <c r="A2" s="11" t="s">
        <v>40</v>
      </c>
      <c r="B2" s="11" t="s">
        <v>41</v>
      </c>
      <c r="C2" s="11" t="s">
        <v>42</v>
      </c>
      <c r="D2" s="11" t="s">
        <v>43</v>
      </c>
      <c r="E2" s="11" t="s">
        <v>44</v>
      </c>
      <c r="F2" s="11" t="s">
        <v>45</v>
      </c>
      <c r="G2" s="11" t="s">
        <v>9</v>
      </c>
      <c r="H2" s="11" t="s">
        <v>46</v>
      </c>
      <c r="I2" s="11" t="s">
        <v>10</v>
      </c>
      <c r="J2" s="11" t="s">
        <v>47</v>
      </c>
      <c r="K2" s="11" t="s">
        <v>48</v>
      </c>
      <c r="L2" s="11" t="s">
        <v>49</v>
      </c>
      <c r="M2" s="11" t="s">
        <v>50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.95" customHeight="1">
      <c r="A3" s="11" t="s">
        <v>51</v>
      </c>
      <c r="B3" s="11" t="s">
        <v>41</v>
      </c>
      <c r="C3" s="11" t="s">
        <v>52</v>
      </c>
      <c r="D3" s="11" t="s">
        <v>43</v>
      </c>
      <c r="E3" s="11" t="s">
        <v>53</v>
      </c>
      <c r="F3" s="11" t="s">
        <v>54</v>
      </c>
      <c r="G3" s="11" t="s">
        <v>9</v>
      </c>
      <c r="H3" s="11" t="s">
        <v>55</v>
      </c>
      <c r="I3" s="11" t="s">
        <v>10</v>
      </c>
      <c r="J3" s="11" t="s">
        <v>56</v>
      </c>
      <c r="K3" s="11" t="s">
        <v>57</v>
      </c>
      <c r="L3" s="11" t="s">
        <v>58</v>
      </c>
      <c r="M3" s="11" t="s">
        <v>59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69.95" customHeight="1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9</v>
      </c>
      <c r="H4" s="11" t="s">
        <v>66</v>
      </c>
      <c r="I4" s="11" t="s">
        <v>10</v>
      </c>
      <c r="J4" s="11" t="s">
        <v>67</v>
      </c>
      <c r="K4" s="11" t="s">
        <v>68</v>
      </c>
      <c r="L4" s="11" t="s">
        <v>69</v>
      </c>
      <c r="M4" s="11" t="s">
        <v>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9.95" customHeight="1">
      <c r="A5" s="11" t="s">
        <v>71</v>
      </c>
      <c r="B5" s="11" t="s">
        <v>61</v>
      </c>
      <c r="C5" s="11" t="s">
        <v>62</v>
      </c>
      <c r="D5" s="11" t="s">
        <v>72</v>
      </c>
      <c r="E5" s="11" t="s">
        <v>73</v>
      </c>
      <c r="F5" s="11" t="s">
        <v>45</v>
      </c>
      <c r="G5" s="11" t="s">
        <v>9</v>
      </c>
      <c r="H5" s="11" t="s">
        <v>74</v>
      </c>
      <c r="I5" s="11" t="s">
        <v>10</v>
      </c>
      <c r="J5" s="11" t="s">
        <v>75</v>
      </c>
      <c r="K5" s="11" t="s">
        <v>76</v>
      </c>
      <c r="L5" s="11" t="s">
        <v>77</v>
      </c>
      <c r="M5" s="11" t="s">
        <v>70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69.95" customHeight="1">
      <c r="A6" s="11" t="s">
        <v>78</v>
      </c>
      <c r="B6" s="11" t="s">
        <v>79</v>
      </c>
      <c r="C6" s="11" t="s">
        <v>80</v>
      </c>
      <c r="D6" s="11" t="s">
        <v>81</v>
      </c>
      <c r="E6" s="11" t="s">
        <v>82</v>
      </c>
      <c r="F6" s="11" t="s">
        <v>83</v>
      </c>
      <c r="G6" s="11" t="s">
        <v>9</v>
      </c>
      <c r="H6" s="11" t="s">
        <v>84</v>
      </c>
      <c r="I6" s="11" t="s">
        <v>10</v>
      </c>
      <c r="J6" s="11" t="s">
        <v>85</v>
      </c>
      <c r="K6" s="11" t="s">
        <v>86</v>
      </c>
      <c r="L6" s="11" t="s">
        <v>87</v>
      </c>
      <c r="M6" s="11" t="s">
        <v>70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69.95" customHeight="1">
      <c r="A7" s="11" t="s">
        <v>88</v>
      </c>
      <c r="B7" s="11" t="s">
        <v>79</v>
      </c>
      <c r="C7" s="11" t="s">
        <v>89</v>
      </c>
      <c r="D7" s="11" t="s">
        <v>90</v>
      </c>
      <c r="E7" s="11" t="s">
        <v>91</v>
      </c>
      <c r="F7" s="11" t="s">
        <v>83</v>
      </c>
      <c r="G7" s="11" t="s">
        <v>13</v>
      </c>
      <c r="H7" s="11" t="s">
        <v>92</v>
      </c>
      <c r="I7" s="11" t="s">
        <v>10</v>
      </c>
      <c r="J7" s="11" t="s">
        <v>93</v>
      </c>
      <c r="K7" s="11" t="s">
        <v>94</v>
      </c>
      <c r="L7" s="11" t="s">
        <v>95</v>
      </c>
      <c r="M7" s="11" t="s">
        <v>70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69.95" customHeight="1">
      <c r="A8" s="11" t="s">
        <v>96</v>
      </c>
      <c r="B8" s="11" t="s">
        <v>97</v>
      </c>
      <c r="C8" s="11" t="s">
        <v>98</v>
      </c>
      <c r="D8" s="11" t="s">
        <v>99</v>
      </c>
      <c r="E8" s="11" t="s">
        <v>100</v>
      </c>
      <c r="F8" s="11" t="s">
        <v>101</v>
      </c>
      <c r="G8" s="11" t="s">
        <v>9</v>
      </c>
      <c r="H8" s="11" t="s">
        <v>55</v>
      </c>
      <c r="I8" s="11" t="s">
        <v>10</v>
      </c>
      <c r="J8" s="11" t="s">
        <v>102</v>
      </c>
      <c r="K8" s="11" t="s">
        <v>103</v>
      </c>
      <c r="L8" s="11" t="s">
        <v>104</v>
      </c>
      <c r="M8" s="11" t="s">
        <v>105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69.95" customHeight="1">
      <c r="A9" s="11" t="s">
        <v>106</v>
      </c>
      <c r="B9" s="11" t="s">
        <v>107</v>
      </c>
      <c r="C9" s="11" t="s">
        <v>98</v>
      </c>
      <c r="D9" s="11" t="s">
        <v>108</v>
      </c>
      <c r="E9" s="11" t="s">
        <v>109</v>
      </c>
      <c r="F9" s="11" t="s">
        <v>110</v>
      </c>
      <c r="G9" s="11" t="s">
        <v>13</v>
      </c>
      <c r="H9" s="11" t="s">
        <v>111</v>
      </c>
      <c r="I9" s="11" t="s">
        <v>10</v>
      </c>
      <c r="J9" s="11" t="s">
        <v>112</v>
      </c>
      <c r="K9" s="11" t="s">
        <v>113</v>
      </c>
      <c r="L9" s="11" t="s">
        <v>114</v>
      </c>
      <c r="M9" s="11" t="s">
        <v>115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69.95" customHeight="1">
      <c r="A10" s="11" t="s">
        <v>116</v>
      </c>
      <c r="B10" s="11" t="s">
        <v>117</v>
      </c>
      <c r="C10" s="11" t="s">
        <v>118</v>
      </c>
      <c r="D10" s="11" t="s">
        <v>119</v>
      </c>
      <c r="E10" s="11" t="s">
        <v>120</v>
      </c>
      <c r="F10" s="11" t="s">
        <v>121</v>
      </c>
      <c r="G10" s="11" t="s">
        <v>13</v>
      </c>
      <c r="H10" s="11" t="s">
        <v>122</v>
      </c>
      <c r="I10" s="11" t="s">
        <v>10</v>
      </c>
      <c r="J10" s="11" t="s">
        <v>123</v>
      </c>
      <c r="K10" s="11" t="s">
        <v>124</v>
      </c>
      <c r="L10" s="11" t="s">
        <v>125</v>
      </c>
      <c r="M10" s="11" t="s">
        <v>126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69.95" customHeight="1">
      <c r="A11" s="11" t="s">
        <v>127</v>
      </c>
      <c r="B11" s="11" t="s">
        <v>128</v>
      </c>
      <c r="C11" s="11" t="s">
        <v>129</v>
      </c>
      <c r="D11" s="11" t="s">
        <v>130</v>
      </c>
      <c r="E11" s="11" t="s">
        <v>131</v>
      </c>
      <c r="F11" s="11" t="s">
        <v>132</v>
      </c>
      <c r="G11" s="11" t="s">
        <v>13</v>
      </c>
      <c r="H11" s="11" t="s">
        <v>133</v>
      </c>
      <c r="I11" s="11" t="s">
        <v>10</v>
      </c>
      <c r="J11" s="11" t="s">
        <v>134</v>
      </c>
      <c r="K11" s="11" t="s">
        <v>135</v>
      </c>
      <c r="L11" s="11" t="s">
        <v>136</v>
      </c>
      <c r="M11" s="11" t="s">
        <v>126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69.95" customHeight="1">
      <c r="A12" s="11" t="s">
        <v>137</v>
      </c>
      <c r="B12" s="11" t="s">
        <v>138</v>
      </c>
      <c r="C12" s="11" t="s">
        <v>139</v>
      </c>
      <c r="D12" s="11" t="s">
        <v>140</v>
      </c>
      <c r="E12" s="11" t="s">
        <v>141</v>
      </c>
      <c r="F12" s="11" t="s">
        <v>142</v>
      </c>
      <c r="G12" s="11" t="s">
        <v>9</v>
      </c>
      <c r="H12" s="11" t="s">
        <v>143</v>
      </c>
      <c r="I12" s="11" t="s">
        <v>10</v>
      </c>
      <c r="J12" s="11" t="s">
        <v>144</v>
      </c>
      <c r="K12" s="11" t="s">
        <v>145</v>
      </c>
      <c r="L12" s="11" t="s">
        <v>146</v>
      </c>
      <c r="M12" s="11" t="s">
        <v>147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9.95" customHeight="1">
      <c r="A13" s="11" t="s">
        <v>148</v>
      </c>
      <c r="B13" s="11" t="s">
        <v>149</v>
      </c>
      <c r="C13" s="11" t="s">
        <v>150</v>
      </c>
      <c r="D13" s="11" t="s">
        <v>151</v>
      </c>
      <c r="E13" s="11" t="s">
        <v>152</v>
      </c>
      <c r="F13" s="11" t="s">
        <v>153</v>
      </c>
      <c r="G13" s="11" t="s">
        <v>13</v>
      </c>
      <c r="H13" s="11" t="s">
        <v>154</v>
      </c>
      <c r="I13" s="11" t="s">
        <v>10</v>
      </c>
      <c r="J13" s="11" t="s">
        <v>155</v>
      </c>
      <c r="K13" s="11" t="s">
        <v>156</v>
      </c>
      <c r="L13" s="11" t="s">
        <v>157</v>
      </c>
      <c r="M13" s="11" t="s">
        <v>158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69.95" customHeight="1">
      <c r="A14" s="11" t="s">
        <v>159</v>
      </c>
      <c r="B14" s="11" t="s">
        <v>160</v>
      </c>
      <c r="C14" s="11" t="s">
        <v>161</v>
      </c>
      <c r="D14" s="11" t="s">
        <v>162</v>
      </c>
      <c r="E14" s="11" t="s">
        <v>163</v>
      </c>
      <c r="F14" s="11" t="s">
        <v>110</v>
      </c>
      <c r="G14" s="11" t="s">
        <v>13</v>
      </c>
      <c r="H14" s="11" t="s">
        <v>164</v>
      </c>
      <c r="I14" s="11" t="s">
        <v>10</v>
      </c>
      <c r="J14" s="11" t="s">
        <v>165</v>
      </c>
      <c r="K14" s="11" t="s">
        <v>166</v>
      </c>
      <c r="L14" s="11" t="s">
        <v>167</v>
      </c>
      <c r="M14" s="11" t="s">
        <v>158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69.95" customHeight="1">
      <c r="A15" s="11" t="s">
        <v>168</v>
      </c>
      <c r="B15" s="11" t="s">
        <v>169</v>
      </c>
      <c r="C15" s="11" t="s">
        <v>170</v>
      </c>
      <c r="D15" s="11" t="s">
        <v>171</v>
      </c>
      <c r="E15" s="11" t="s">
        <v>172</v>
      </c>
      <c r="F15" s="11" t="s">
        <v>83</v>
      </c>
      <c r="G15" s="11" t="s">
        <v>13</v>
      </c>
      <c r="H15" s="11" t="s">
        <v>84</v>
      </c>
      <c r="I15" s="11" t="s">
        <v>10</v>
      </c>
      <c r="J15" s="11" t="s">
        <v>173</v>
      </c>
      <c r="K15" s="11" t="s">
        <v>174</v>
      </c>
      <c r="L15" s="11" t="s">
        <v>175</v>
      </c>
      <c r="M15" s="11" t="s">
        <v>176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69.95" customHeight="1">
      <c r="A16" s="11" t="s">
        <v>177</v>
      </c>
      <c r="B16" s="11" t="s">
        <v>178</v>
      </c>
      <c r="C16" s="11" t="s">
        <v>179</v>
      </c>
      <c r="D16" s="11" t="s">
        <v>180</v>
      </c>
      <c r="E16" s="11" t="s">
        <v>181</v>
      </c>
      <c r="F16" s="11" t="s">
        <v>45</v>
      </c>
      <c r="G16" s="11" t="s">
        <v>9</v>
      </c>
      <c r="H16" s="11" t="s">
        <v>55</v>
      </c>
      <c r="I16" s="11" t="s">
        <v>10</v>
      </c>
      <c r="J16" s="11" t="s">
        <v>182</v>
      </c>
      <c r="K16" s="11" t="s">
        <v>183</v>
      </c>
      <c r="L16" s="11" t="s">
        <v>184</v>
      </c>
      <c r="M16" s="11" t="s">
        <v>70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69.95" customHeight="1">
      <c r="A17" s="11" t="s">
        <v>185</v>
      </c>
      <c r="B17" s="11" t="s">
        <v>186</v>
      </c>
      <c r="C17" s="11" t="s">
        <v>187</v>
      </c>
      <c r="D17" s="11" t="s">
        <v>188</v>
      </c>
      <c r="E17" s="11" t="s">
        <v>189</v>
      </c>
      <c r="F17" s="11" t="s">
        <v>190</v>
      </c>
      <c r="G17" s="11" t="s">
        <v>13</v>
      </c>
      <c r="H17" s="11" t="s">
        <v>191</v>
      </c>
      <c r="I17" s="11" t="s">
        <v>10</v>
      </c>
      <c r="J17" s="11" t="s">
        <v>192</v>
      </c>
      <c r="K17" s="11" t="s">
        <v>193</v>
      </c>
      <c r="L17" s="11" t="s">
        <v>194</v>
      </c>
      <c r="M17" s="11" t="s">
        <v>195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69.95" customHeight="1">
      <c r="A18" s="11" t="s">
        <v>196</v>
      </c>
      <c r="B18" s="11" t="s">
        <v>97</v>
      </c>
      <c r="C18" s="11" t="s">
        <v>197</v>
      </c>
      <c r="D18" s="11" t="s">
        <v>198</v>
      </c>
      <c r="E18" s="11" t="s">
        <v>199</v>
      </c>
      <c r="F18" s="11" t="s">
        <v>101</v>
      </c>
      <c r="G18" s="11" t="s">
        <v>13</v>
      </c>
      <c r="H18" s="11" t="s">
        <v>143</v>
      </c>
      <c r="I18" s="11" t="s">
        <v>10</v>
      </c>
      <c r="J18" s="11" t="s">
        <v>200</v>
      </c>
      <c r="K18" s="11" t="s">
        <v>201</v>
      </c>
      <c r="L18" s="11" t="s">
        <v>202</v>
      </c>
      <c r="M18" s="11" t="s">
        <v>115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</sheetData>
  <conditionalFormatting sqref="G2:G200">
    <cfRule type="expression" dxfId="26" priority="1">
      <formula>G2="High"</formula>
    </cfRule>
    <cfRule type="expression" dxfId="25" priority="2">
      <formula>G2="Medium"</formula>
    </cfRule>
    <cfRule type="expression" dxfId="24" priority="3">
      <formula>G2="Low"</formula>
    </cfRule>
  </conditionalFormatting>
  <conditionalFormatting sqref="I2:I200">
    <cfRule type="expression" dxfId="23" priority="4">
      <formula>I2="Proposed"</formula>
    </cfRule>
    <cfRule type="expression" dxfId="22" priority="5">
      <formula>I2="Closed"</formula>
    </cfRule>
    <cfRule type="expression" dxfId="21" priority="6">
      <formula>I2="Blocked"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Reference_Lists!$A$2:$A$4</xm:f>
          </x14:formula1>
          <xm:sqref>G2:G200</xm:sqref>
        </x14:dataValidation>
        <x14:dataValidation type="list" xr:uid="{00000000-0002-0000-0100-000001000000}">
          <x14:formula1>
            <xm:f>Reference_Lists!$C$2:$C$7</xm:f>
          </x14:formula1>
          <xm:sqref>I2:I200</xm:sqref>
        </x14:dataValidation>
        <x14:dataValidation type="list" xr:uid="{00000000-0002-0000-0100-000002000000}">
          <x14:formula1>
            <xm:f>Reference_Lists!$E$2:$E$9</xm:f>
          </x14:formula1>
          <xm:sqref>H2:H200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zoomScaleNormal="100" zoomScaleSheetLayoutView="100" workbookViewId="0">
      <selection sqref="A1:XFD1048576"/>
    </sheetView>
  </sheetViews>
  <sheetFormatPr defaultRowHeight="15"/>
  <cols>
    <col min="1" max="12" width="24" style="3" customWidth="1"/>
    <col min="13" max="16384" width="9" style="3"/>
  </cols>
  <sheetData>
    <row r="1" spans="1:26">
      <c r="A1" s="8" t="s">
        <v>4</v>
      </c>
      <c r="B1" s="8"/>
      <c r="C1" s="8" t="s">
        <v>6</v>
      </c>
      <c r="D1" s="8"/>
      <c r="E1" s="8" t="s">
        <v>35</v>
      </c>
      <c r="F1" s="8"/>
      <c r="G1" s="8" t="s">
        <v>34</v>
      </c>
      <c r="H1" s="8"/>
      <c r="I1" s="8" t="s">
        <v>203</v>
      </c>
      <c r="J1" s="8"/>
      <c r="K1" s="8" t="s">
        <v>204</v>
      </c>
      <c r="L1" s="8" t="s">
        <v>205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12" t="s">
        <v>9</v>
      </c>
      <c r="B2" s="12"/>
      <c r="C2" s="12" t="s">
        <v>10</v>
      </c>
      <c r="D2" s="12"/>
      <c r="E2" s="12" t="s">
        <v>191</v>
      </c>
      <c r="F2" s="12"/>
      <c r="G2" s="12" t="s">
        <v>206</v>
      </c>
      <c r="H2" s="12"/>
      <c r="I2" s="12" t="s">
        <v>59</v>
      </c>
      <c r="J2" s="12"/>
      <c r="K2" s="12" t="s">
        <v>207</v>
      </c>
      <c r="L2" s="12" t="s">
        <v>208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2" t="s">
        <v>13</v>
      </c>
      <c r="B3" s="12"/>
      <c r="C3" s="12" t="s">
        <v>14</v>
      </c>
      <c r="D3" s="12"/>
      <c r="E3" s="12" t="s">
        <v>209</v>
      </c>
      <c r="F3" s="12"/>
      <c r="G3" s="12" t="s">
        <v>210</v>
      </c>
      <c r="H3" s="12"/>
      <c r="I3" s="12" t="s">
        <v>176</v>
      </c>
      <c r="J3" s="12"/>
      <c r="K3" s="12" t="s">
        <v>211</v>
      </c>
      <c r="L3" s="12" t="s">
        <v>212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2" t="s">
        <v>16</v>
      </c>
      <c r="B4" s="12"/>
      <c r="C4" s="12" t="s">
        <v>17</v>
      </c>
      <c r="D4" s="12"/>
      <c r="E4" s="12" t="s">
        <v>213</v>
      </c>
      <c r="F4" s="12"/>
      <c r="G4" s="12" t="s">
        <v>214</v>
      </c>
      <c r="H4" s="12"/>
      <c r="I4" s="12" t="s">
        <v>126</v>
      </c>
      <c r="J4" s="12"/>
      <c r="K4" s="12" t="s">
        <v>215</v>
      </c>
      <c r="L4" s="12" t="s">
        <v>216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7">
      <c r="A5" s="12"/>
      <c r="B5" s="12"/>
      <c r="C5" s="12" t="s">
        <v>19</v>
      </c>
      <c r="D5" s="12"/>
      <c r="E5" s="12" t="s">
        <v>55</v>
      </c>
      <c r="F5" s="12"/>
      <c r="G5" s="12" t="s">
        <v>217</v>
      </c>
      <c r="H5" s="12"/>
      <c r="I5" s="12" t="s">
        <v>70</v>
      </c>
      <c r="J5" s="12"/>
      <c r="K5" s="12" t="s">
        <v>218</v>
      </c>
      <c r="L5" s="12" t="s">
        <v>219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">
      <c r="A6" s="12"/>
      <c r="B6" s="12"/>
      <c r="C6" s="12" t="s">
        <v>21</v>
      </c>
      <c r="D6" s="12"/>
      <c r="E6" s="12" t="s">
        <v>133</v>
      </c>
      <c r="F6" s="12"/>
      <c r="G6" s="12" t="s">
        <v>220</v>
      </c>
      <c r="H6" s="12"/>
      <c r="I6" s="12" t="s">
        <v>105</v>
      </c>
      <c r="J6" s="12"/>
      <c r="K6" s="12" t="s">
        <v>221</v>
      </c>
      <c r="L6" s="12" t="s">
        <v>222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12"/>
      <c r="B7" s="12"/>
      <c r="C7" s="12" t="s">
        <v>223</v>
      </c>
      <c r="D7" s="12"/>
      <c r="E7" s="12" t="s">
        <v>143</v>
      </c>
      <c r="F7" s="12"/>
      <c r="G7" s="12" t="s">
        <v>224</v>
      </c>
      <c r="H7" s="12"/>
      <c r="I7" s="12" t="s">
        <v>147</v>
      </c>
      <c r="J7" s="12"/>
      <c r="K7" s="12" t="s">
        <v>225</v>
      </c>
      <c r="L7" s="12" t="s">
        <v>226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0.5">
      <c r="A8" s="12"/>
      <c r="B8" s="12"/>
      <c r="C8" s="12"/>
      <c r="D8" s="12"/>
      <c r="E8" s="12" t="s">
        <v>84</v>
      </c>
      <c r="F8" s="12"/>
      <c r="G8" s="12" t="s">
        <v>54</v>
      </c>
      <c r="H8" s="12"/>
      <c r="I8" s="12"/>
      <c r="J8" s="12"/>
      <c r="K8" s="12" t="s">
        <v>227</v>
      </c>
      <c r="L8" s="12" t="s">
        <v>228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">
      <c r="A9" s="12"/>
      <c r="B9" s="12"/>
      <c r="C9" s="12"/>
      <c r="D9" s="12"/>
      <c r="E9" s="12" t="s">
        <v>46</v>
      </c>
      <c r="F9" s="12"/>
      <c r="G9" s="12" t="s">
        <v>229</v>
      </c>
      <c r="H9" s="12"/>
      <c r="I9" s="12"/>
      <c r="J9" s="12"/>
      <c r="K9" s="12"/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2"/>
      <c r="B10" s="12"/>
      <c r="C10" s="12"/>
      <c r="D10" s="12"/>
      <c r="E10" s="12"/>
      <c r="F10" s="12"/>
      <c r="G10" s="12" t="s">
        <v>230</v>
      </c>
      <c r="H10" s="12"/>
      <c r="I10" s="12"/>
      <c r="J10" s="12"/>
      <c r="K10" s="12"/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abSelected="1" zoomScaleNormal="100" zoomScaleSheetLayoutView="100" workbookViewId="0">
      <selection activeCell="B17" sqref="B17"/>
    </sheetView>
  </sheetViews>
  <sheetFormatPr defaultRowHeight="15"/>
  <cols>
    <col min="1" max="1" width="14" customWidth="1"/>
    <col min="2" max="2" width="34" customWidth="1"/>
    <col min="3" max="3" width="42" customWidth="1"/>
    <col min="4" max="4" width="50" customWidth="1"/>
  </cols>
  <sheetData>
    <row r="1" spans="1:26">
      <c r="A1" s="8" t="s">
        <v>203</v>
      </c>
      <c r="B1" s="8" t="s">
        <v>231</v>
      </c>
      <c r="C1" s="8" t="s">
        <v>232</v>
      </c>
      <c r="D1" s="8" t="s">
        <v>233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59</v>
      </c>
      <c r="B2" s="12" t="s">
        <v>234</v>
      </c>
      <c r="C2" s="12" t="s">
        <v>235</v>
      </c>
      <c r="D2" s="12" t="s">
        <v>236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>
      <c r="A3" s="12" t="s">
        <v>176</v>
      </c>
      <c r="B3" s="12" t="s">
        <v>237</v>
      </c>
      <c r="C3" s="12" t="s">
        <v>238</v>
      </c>
      <c r="D3" s="12" t="s">
        <v>239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126</v>
      </c>
      <c r="B4" s="12" t="s">
        <v>240</v>
      </c>
      <c r="C4" s="12" t="s">
        <v>241</v>
      </c>
      <c r="D4" s="12" t="s">
        <v>242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2" t="s">
        <v>70</v>
      </c>
      <c r="B5" s="12" t="s">
        <v>243</v>
      </c>
      <c r="C5" s="12" t="s">
        <v>244</v>
      </c>
      <c r="D5" s="12" t="s">
        <v>245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12" t="s">
        <v>105</v>
      </c>
      <c r="B6" s="12" t="s">
        <v>246</v>
      </c>
      <c r="C6" s="12" t="s">
        <v>247</v>
      </c>
      <c r="D6" s="12" t="s">
        <v>248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>
      <c r="A7" s="12" t="s">
        <v>147</v>
      </c>
      <c r="B7" s="12" t="s">
        <v>249</v>
      </c>
      <c r="C7" s="12" t="s">
        <v>250</v>
      </c>
      <c r="D7" s="12" t="s">
        <v>251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2026-06-17T19:05:24Z</dcterms:created>
  <dcterms:modified xsi:type="dcterms:W3CDTF">2026-06-17T19:05:24Z</dcterms:modified>
  <cp:category/>
  <cp:contentStatus/>
</cp:coreProperties>
</file>