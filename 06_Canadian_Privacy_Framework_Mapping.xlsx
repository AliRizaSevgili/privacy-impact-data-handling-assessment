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showInkAnnotation="0" autoCompressPictures="0"/>
  <xr:revisionPtr revIDLastSave="6" documentId="11_596409E5C0BCCA909888966377406652DC8A7E09" xr6:coauthVersionLast="47" xr6:coauthVersionMax="47" xr10:uidLastSave="{7028FBFE-7788-4CC9-94D9-29E0F92A4BDB}"/>
  <bookViews>
    <workbookView xWindow="0" yWindow="0" windowWidth="0" windowHeight="0" activeTab="4" xr2:uid="{00000000-000D-0000-FFFF-FFFF00000000}"/>
  </bookViews>
  <sheets>
    <sheet name="Summary" sheetId="1" r:id="rId1"/>
    <sheet name="Framework_Mapping" sheetId="2" r:id="rId2"/>
    <sheet name="Principle_Reference" sheetId="3" r:id="rId3"/>
    <sheet name="Finding_Reference" sheetId="4" r:id="rId4"/>
    <sheet name="Evidence_Map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7" i="1"/>
  <c r="B16" i="1"/>
  <c r="B15" i="1"/>
  <c r="B14" i="1"/>
  <c r="B13" i="1"/>
  <c r="B12" i="1"/>
</calcChain>
</file>

<file path=xl/sharedStrings.xml><?xml version="1.0" encoding="utf-8"?>
<sst xmlns="http://schemas.openxmlformats.org/spreadsheetml/2006/main" count="357" uniqueCount="259">
  <si>
    <t>Workbook</t>
  </si>
  <si>
    <t>06_Canadian_Privacy_Framework_Mapping.xlsx</t>
  </si>
  <si>
    <t>Project</t>
  </si>
  <si>
    <t>Privacy Impact &amp; Data Handling Risk Assessment: Customer-Facing Reservation Platform</t>
  </si>
  <si>
    <t>Purpose</t>
  </si>
  <si>
    <t>Map privacy-relevant findings to Canadian privacy principles using a PIPEDA-aligned assessment lens.</t>
  </si>
  <si>
    <t>Scope</t>
  </si>
  <si>
    <t>Privacy framework mapping for PF-001 to PF-007 across personal information lifecycle, access, safeguards, vendor processing, retention, evidence, and change governance.</t>
  </si>
  <si>
    <t>Important limitation</t>
  </si>
  <si>
    <t>This workbook does not claim PIPEDA compliance, official PIA completion, legal advice, regulatory audit, vendor audit, or certification.</t>
  </si>
  <si>
    <t>Total mapping rows</t>
  </si>
  <si>
    <t>Unique findings mapped</t>
  </si>
  <si>
    <t>Primary framework</t>
  </si>
  <si>
    <t>PIPEDA Fair Information Principles</t>
  </si>
  <si>
    <t>Last updated</t>
  </si>
  <si>
    <t>2026-06-17</t>
  </si>
  <si>
    <t>Mapping Quality Checks</t>
  </si>
  <si>
    <t>PF-001 rows</t>
  </si>
  <si>
    <t>PF-002 rows</t>
  </si>
  <si>
    <t>PF-003 rows</t>
  </si>
  <si>
    <t>PF-004 rows</t>
  </si>
  <si>
    <t>PF-005 rows</t>
  </si>
  <si>
    <t>PF-006 rows</t>
  </si>
  <si>
    <t>PF-007 rows</t>
  </si>
  <si>
    <t>Finding ID</t>
  </si>
  <si>
    <t>Finding Title</t>
  </si>
  <si>
    <t>Affected Data Element</t>
  </si>
  <si>
    <t>Workflow</t>
  </si>
  <si>
    <t>Canadian Privacy Principle</t>
  </si>
  <si>
    <t>PIPEDA Principle</t>
  </si>
  <si>
    <t>Privacy Risk</t>
  </si>
  <si>
    <t>Existing Control / Gap</t>
  </si>
  <si>
    <t>Recommended Mitigation</t>
  </si>
  <si>
    <t>Evidence Reference</t>
  </si>
  <si>
    <t>Residual Risk</t>
  </si>
  <si>
    <t>Notes</t>
  </si>
  <si>
    <t>PF-001</t>
  </si>
  <si>
    <t>Inconsistent Field-Level Protection</t>
  </si>
  <si>
    <t>First name</t>
  </si>
  <si>
    <t>Reservation / Checkout Workflow</t>
  </si>
  <si>
    <t>Safeguards</t>
  </si>
  <si>
    <t>Direct identifiers may not receive protection comparable to other customer contact fields.</t>
  </si>
  <si>
    <t>Email and contact number are encrypted using field-level protection; first name may remain plaintext.</t>
  </si>
  <si>
    <t>Define field-level protection requirements for all direct identifiers and document encryption coverage.</t>
  </si>
  <si>
    <t>EV-001, EV-002</t>
  </si>
  <si>
    <t>Medium</t>
  </si>
  <si>
    <t>Do not state non-compliance. Frame as safeguards gap based on inconsistent protection.</t>
  </si>
  <si>
    <t>Last name</t>
  </si>
  <si>
    <t>Direct identifiers may remain exposed if stored in plaintext while similar fields are encrypted.</t>
  </si>
  <si>
    <t>Last name may remain plaintext while selected contact fields are encrypted.</t>
  </si>
  <si>
    <t>Apply consistent protection standard or document risk-based justification for protection differences.</t>
  </si>
  <si>
    <t>Relevant to personal information protection, not a standalone legal conclusion.</t>
  </si>
  <si>
    <t>Address</t>
  </si>
  <si>
    <t>Checkout / Order Workflow</t>
  </si>
  <si>
    <t>Customer address may create higher privacy impact if stored without consistent field-level protection.</t>
  </si>
  <si>
    <t>Address may remain plaintext in data model while selected fields are encrypted.</t>
  </si>
  <si>
    <t>Prioritize address field for protection review, access restriction, and retention documentation.</t>
  </si>
  <si>
    <t>Address is treated as higher sensitivity due to direct identifiability.</t>
  </si>
  <si>
    <t>Company information</t>
  </si>
  <si>
    <t>Checkout / Contact Workflow</t>
  </si>
  <si>
    <t>Company information may identify an individual in a small business or sole proprietor context.</t>
  </si>
  <si>
    <t>Company field may remain plaintext and protection coverage is not consistently documented.</t>
  </si>
  <si>
    <t>Classify company field based on context and include it in field-level protection review.</t>
  </si>
  <si>
    <t>EV-001</t>
  </si>
  <si>
    <t>Use cautious language because company information is context-dependent.</t>
  </si>
  <si>
    <t>PF-002</t>
  </si>
  <si>
    <t>RBAC / Access Limitation Gap</t>
  </si>
  <si>
    <t>Reservation records</t>
  </si>
  <si>
    <t>Admin / Internal Access Workflow</t>
  </si>
  <si>
    <t>Accountability and Safeguards</t>
  </si>
  <si>
    <t>Accountability; Safeguards; Limiting Use, Disclosure, and Retention</t>
  </si>
  <si>
    <t>Internal users or technical personnel may access reservation records beyond operational need.</t>
  </si>
  <si>
    <t>No formal RBAC model is implemented; access may be based on technical capability rather than approved role.</t>
  </si>
  <si>
    <t>Define roles, permissions, approval process, periodic access review, and need-to-know access rules.</t>
  </si>
  <si>
    <t>EV-004</t>
  </si>
  <si>
    <t>Connects access governance to privacy safeguards and use limitation.</t>
  </si>
  <si>
    <t>Contact records</t>
  </si>
  <si>
    <t>Contact Form / Admin Access Workflow</t>
  </si>
  <si>
    <t>Free-text contact messages may be accessed by users without a documented operational need.</t>
  </si>
  <si>
    <t>No centralized access governance or formal role assignment is documented for contact records.</t>
  </si>
  <si>
    <t>Restrict access to contact records, document authorized roles, and add access review evidence.</t>
  </si>
  <si>
    <t>Important because contact messages may include unexpected personal information.</t>
  </si>
  <si>
    <t>Order records and payment references</t>
  </si>
  <si>
    <t>Checkout / Payment / Admin Access Workflow</t>
  </si>
  <si>
    <t>Accountability; Safeguards</t>
  </si>
  <si>
    <t>Payment-related references linked to customers may be accessible through broad privileged access.</t>
  </si>
  <si>
    <t>Developer access may include database, deployment configuration, environment variables, and source code.</t>
  </si>
  <si>
    <t>Limit production database and environment access; document emergency access and review privileged access.</t>
  </si>
  <si>
    <t>EV-004, EV-003</t>
  </si>
  <si>
    <t>Payment references are privacy-relevant when linked to customer identifiers.</t>
  </si>
  <si>
    <t>PF-003</t>
  </si>
  <si>
    <t>Limited Audit Logging</t>
  </si>
  <si>
    <t>Customer record access events</t>
  </si>
  <si>
    <t>Logging / Monitoring Workflow</t>
  </si>
  <si>
    <t>Accountability</t>
  </si>
  <si>
    <t>Accountability; Safeguards; Challenging Compliance</t>
  </si>
  <si>
    <t>The organization may be unable to determine who accessed or modified personal information.</t>
  </si>
  <si>
    <t>Winston system logs exist, but no dedicated user access or administrative activity logging is documented.</t>
  </si>
  <si>
    <t>Implement structured audit logging for personal information view, modification, export, deletion, and permission changes.</t>
  </si>
  <si>
    <t>EV-005</t>
  </si>
  <si>
    <t>Logging supports accountability and investigation, not just security monitoring.</t>
  </si>
  <si>
    <t>Admin/internal activity records</t>
  </si>
  <si>
    <t>Accountability; Challenging Compliance</t>
  </si>
  <si>
    <t>Challenge handling or incident investigation may be weakened by lack of admin activity traceability.</t>
  </si>
  <si>
    <t>No structured logging exists for administrative actions or access to personal information.</t>
  </si>
  <si>
    <t>Log admin activity and preserve log retention requirements for privacy incident review.</t>
  </si>
  <si>
    <t>EV-005, EV-004</t>
  </si>
  <si>
    <t>This is a privacy accountability issue when it affects personal information access.</t>
  </si>
  <si>
    <t>PF-004</t>
  </si>
  <si>
    <t>Stripe Third-Party Processing Dependency</t>
  </si>
  <si>
    <t>Stripe transaction/payment reference</t>
  </si>
  <si>
    <t>Checkout / Payment Workflow</t>
  </si>
  <si>
    <t>Accountability and Openness</t>
  </si>
  <si>
    <t>Accountability; Openness; Limiting Use, Disclosure, and Retention</t>
  </si>
  <si>
    <t>Payment processing boundary may be unclear without documentation of what Stripe processes and what remains internally.</t>
  </si>
  <si>
    <t>Stripe hosted checkout processes payment data externally; internal system may retain payment metadata or references.</t>
  </si>
  <si>
    <t>Document vendor role, internal retained fields, access ownership, retention expectations, and vendor evidence.</t>
  </si>
  <si>
    <t>EV-003, EV-002</t>
  </si>
  <si>
    <t>Low to Medium</t>
  </si>
  <si>
    <t>Do not claim Stripe was audited.</t>
  </si>
  <si>
    <t>Payment status</t>
  </si>
  <si>
    <t>Accountability; Safeguards; Openness</t>
  </si>
  <si>
    <t>Payment status linked to an identifiable customer may be retained without clear processing documentation.</t>
  </si>
  <si>
    <t>Payment status is part of order/reservation processing but retention and processing notes may not be centralized.</t>
  </si>
  <si>
    <t>Map payment status to order/reservation records and define retention and access rules.</t>
  </si>
  <si>
    <t>Cardholder data boundary remains distinct from payment metadata.</t>
  </si>
  <si>
    <t>Customer identifiers in payment workflow</t>
  </si>
  <si>
    <t>Checkout / Payment / Vendor Processing Workflow</t>
  </si>
  <si>
    <t>Limiting Use and Disclosure</t>
  </si>
  <si>
    <t>Limiting Use, Disclosure, and Retention; Accountability</t>
  </si>
  <si>
    <t>Customer identifiers may be transmitted or associated with payment metadata beyond what is clearly documented.</t>
  </si>
  <si>
    <t>Payment-related metadata is transmitted to Stripe and returned through webhook events.</t>
  </si>
  <si>
    <t>Document minimum necessary payment metadata and avoid unnecessary identifiers in vendor payloads where possible.</t>
  </si>
  <si>
    <t>This is a data minimization and third-party processing documentation issue.</t>
  </si>
  <si>
    <t>PF-005</t>
  </si>
  <si>
    <t>Retention / Deletion Documentation Incomplete</t>
  </si>
  <si>
    <t>Reservation Workflow</t>
  </si>
  <si>
    <t>Limiting Retention</t>
  </si>
  <si>
    <t>Reservation records may be retained longer than necessary without documented retention rules.</t>
  </si>
  <si>
    <t>No formal retention period or deletion trigger is documented for reservation records.</t>
  </si>
  <si>
    <t>Create retention schedule and deletion trigger for completed reservations.</t>
  </si>
  <si>
    <t>EV-006, EV-002</t>
  </si>
  <si>
    <t>No specific retention period is invented because no formal schedule was provided.</t>
  </si>
  <si>
    <t>Contact message content</t>
  </si>
  <si>
    <t>Contact Form Workflow</t>
  </si>
  <si>
    <t>Limiting Use, Disclosure, and Retention; Openness</t>
  </si>
  <si>
    <t>Free-text inquiries may contain unexpected personal information and may be retained without clear business need.</t>
  </si>
  <si>
    <t>Contact message retention and deletion expectations are not centrally documented.</t>
  </si>
  <si>
    <t>Define retention rule for resolved inquiries and review whether free-text messages require shorter retention.</t>
  </si>
  <si>
    <t>Free-text fields are higher-risk because customers may overshare.</t>
  </si>
  <si>
    <t>Email records</t>
  </si>
  <si>
    <t>Email Communication Workflow</t>
  </si>
  <si>
    <t>Email records may duplicate personal information held in the database and follow different retention practices.</t>
  </si>
  <si>
    <t>Gmail SMTP is used for transactional communications; email retention is not mapped to database retention.</t>
  </si>
  <si>
    <t>Document transactional email content and align mailbox retention with record retention expectations.</t>
  </si>
  <si>
    <t>EV-006, EV-003</t>
  </si>
  <si>
    <t>Important because personal information may exist outside the primary database.</t>
  </si>
  <si>
    <t>System logs</t>
  </si>
  <si>
    <t>Limiting Retention and Safeguards</t>
  </si>
  <si>
    <t>Limiting Use, Disclosure, and Retention; Safeguards</t>
  </si>
  <si>
    <t>Logs may contain technical metadata or partially masked personal information without a documented retention period.</t>
  </si>
  <si>
    <t>Winston logs exist, but retention expectations and personal information handling are not fully documented.</t>
  </si>
  <si>
    <t>Define log retention, masking expectations, access restrictions, and deletion/archive rules.</t>
  </si>
  <si>
    <t>EV-005, EV-006</t>
  </si>
  <si>
    <t>Logging is useful, but log minimization and retention still matter.</t>
  </si>
  <si>
    <t>PF-006</t>
  </si>
  <si>
    <t>Evidence Traceability Gap</t>
  </si>
  <si>
    <t>All assessed personal information</t>
  </si>
  <si>
    <t>Governance / Evidence Workflow</t>
  </si>
  <si>
    <t>Privacy findings may be difficult to validate or remediate if evidence references are not centralized.</t>
  </si>
  <si>
    <t>Evidence exists across testing workpapers, screenshots, access review, data flow notes, and remediation records.</t>
  </si>
  <si>
    <t>Maintain a centralized evidence index linking findings, data elements, controls, remediation, and closure criteria.</t>
  </si>
  <si>
    <t>EV-001, EV-002, EV-003, EV-004, EV-005, EV-006</t>
  </si>
  <si>
    <t>Low</t>
  </si>
  <si>
    <t>This supports accountability and reviewability, not a compliance certification.</t>
  </si>
  <si>
    <t>PF-007</t>
  </si>
  <si>
    <t>Change Management Risk for Systems Handling Personal Information</t>
  </si>
  <si>
    <t>All application personal information</t>
  </si>
  <si>
    <t>GitHub / Render / Deployment Workflow</t>
  </si>
  <si>
    <t>Unreviewed application changes may affect data handling, retention, logging, vendor transmission, or safeguards.</t>
  </si>
  <si>
    <t>Direct commits to main branch and lack of formal pull request or staging validation were identified.</t>
  </si>
  <si>
    <t>Implement pull request review, branch protection, staging validation, and privacy review for data handling changes.</t>
  </si>
  <si>
    <t>EV-002, EV-004</t>
  </si>
  <si>
    <t>Privacy relevance depends on whether changes affect personal information systems.</t>
  </si>
  <si>
    <t>Payment and reservation workflow data</t>
  </si>
  <si>
    <t>Checkout / Payment / Deployment Workflow</t>
  </si>
  <si>
    <t>Safeguards; Accountability</t>
  </si>
  <si>
    <t>Changes to payment or reservation workflows may affect customer data handling without documented review.</t>
  </si>
  <si>
    <t>Change management controls are not formally implemented before production deployment.</t>
  </si>
  <si>
    <t>Add change impact checklist covering personal information fields, vendors, logs, retention, and access implications.</t>
  </si>
  <si>
    <t>EV-002, EV-003</t>
  </si>
  <si>
    <t>This translates change control weakness into privacy risk language.</t>
  </si>
  <si>
    <t>Assessment Use in This Project</t>
  </si>
  <si>
    <t>Examples of Related Project Areas</t>
  </si>
  <si>
    <t>Assess ownership, evidence, access governance, vendor processing, remediation, and documentation discipline.</t>
  </si>
  <si>
    <t>Access governance, evidence traceability, vendor processing, remediation tracker</t>
  </si>
  <si>
    <t>Identifying Purposes</t>
  </si>
  <si>
    <t>Check whether collection purpose is documented for each personal information element.</t>
  </si>
  <si>
    <t>Reservation, contact form, checkout, email communication</t>
  </si>
  <si>
    <t>Consent</t>
  </si>
  <si>
    <t>Consider notice and acknowledgement in customer-facing collection points.</t>
  </si>
  <si>
    <t>Checkout form, contact form, privacy policy acknowledgement indicator</t>
  </si>
  <si>
    <t>Limiting Collection</t>
  </si>
  <si>
    <t>Assess whether collected fields are necessary for reservation, contact, checkout, or operational purposes.</t>
  </si>
  <si>
    <t>Phone number, address, company information, free-text contact content</t>
  </si>
  <si>
    <t>Limiting Use, Disclosure, and Retention</t>
  </si>
  <si>
    <t>Assess purpose limitation, third-party processing, retention, deletion, and duplicate records.</t>
  </si>
  <si>
    <t>Stripe references, Gmail records, MongoDB collections, logs</t>
  </si>
  <si>
    <t>Accuracy</t>
  </si>
  <si>
    <t>Consider accuracy of customer and reservation records for operational use.</t>
  </si>
  <si>
    <t>Reservation details, contact details, payment/order linkage</t>
  </si>
  <si>
    <t>Assess encryption, RBAC, authentication, secrets management, logging, vendor processing, and change governance.</t>
  </si>
  <si>
    <t>Field-level protection, RBAC, logging, secrets, deployment changes</t>
  </si>
  <si>
    <t>Openness</t>
  </si>
  <si>
    <t>Assess whether data handling, vendor processing, and retention practices are documented clearly.</t>
  </si>
  <si>
    <t>Vendor processing notes, privacy notices, retention expectations</t>
  </si>
  <si>
    <t>Individual Access</t>
  </si>
  <si>
    <t>Consider whether records could be located and retrieved if a request process existed.</t>
  </si>
  <si>
    <t>Inventory, data stores, evidence index, record location mapping</t>
  </si>
  <si>
    <t>Challenging Compliance</t>
  </si>
  <si>
    <t>Assess whether evidence, logs, and findings support complaint or challenge handling.</t>
  </si>
  <si>
    <t>Logging gaps, evidence index, remediation records</t>
  </si>
  <si>
    <t>Primary Privacy Theme</t>
  </si>
  <si>
    <t>Core Privacy Interpretation</t>
  </si>
  <si>
    <t>Identifiable customer fields may not receive consistent protection across comparable personal information.</t>
  </si>
  <si>
    <t>Access Governance</t>
  </si>
  <si>
    <t>Internal and technical access may exceed need-to-know without role-based restrictions.</t>
  </si>
  <si>
    <t>Access, modification, export, or deletion of personal information may not be traceable.</t>
  </si>
  <si>
    <t>Third-Party Processing</t>
  </si>
  <si>
    <t>Payment processing boundaries, retained metadata, and vendor accountability should be documented.</t>
  </si>
  <si>
    <t>Retention</t>
  </si>
  <si>
    <t>Reservation, contact, order, email, payment reference, and log retention rules may be incomplete.</t>
  </si>
  <si>
    <t>Findings, evidence references, remediation actions, and closure criteria require centralized traceability.</t>
  </si>
  <si>
    <t>Change Governance</t>
  </si>
  <si>
    <t>Unreviewed changes may affect data handling, safeguards, logs, retention, or vendor transmission.</t>
  </si>
  <si>
    <t>Evidence ID</t>
  </si>
  <si>
    <t>Evidence Name</t>
  </si>
  <si>
    <t>Supports</t>
  </si>
  <si>
    <t>Sanitized data model reference</t>
  </si>
  <si>
    <t>Data elements and field-level protection differences</t>
  </si>
  <si>
    <t>Supports PI field identification and encryption/plaintext observations.</t>
  </si>
  <si>
    <t>EV-002</t>
  </si>
  <si>
    <t>Sanitized application workflow reference</t>
  </si>
  <si>
    <t>Reservation, contact, checkout, payment, email, and deployment workflows</t>
  </si>
  <si>
    <t>Supports workflow and route-based mapping.</t>
  </si>
  <si>
    <t>EV-003</t>
  </si>
  <si>
    <t>Sanitized vendor dependency reference</t>
  </si>
  <si>
    <t>Stripe, Gmail SMTP, Cloudinary, Render, GitHub, and database dependencies</t>
  </si>
  <si>
    <t>Supports third-party processing and vendor dependency mapping.</t>
  </si>
  <si>
    <t>Sanitized access review reference</t>
  </si>
  <si>
    <t>Authentication, RBAC, privileged access, access governance</t>
  </si>
  <si>
    <t>Supports PF-002 and access-related portions of PF-007.</t>
  </si>
  <si>
    <t>Sanitized logging review reference</t>
  </si>
  <si>
    <t>Winston logging, system logs, missing user/admin activity logging</t>
  </si>
  <si>
    <t>Supports PF-003 and logging retention notes.</t>
  </si>
  <si>
    <t>EV-006</t>
  </si>
  <si>
    <t>Sanitized retention review reference</t>
  </si>
  <si>
    <t>Retention and deletion considerations</t>
  </si>
  <si>
    <t>Supports PF-005 and retention-related remediation.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</si>
</sst>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libri"/>
      <scheme val="minor"/>
    </font>
    <font>
      <sz val="11"/>
      <name val="Calibri"/>
      <scheme val="minor"/>
    </font>
    <font>
      <b/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NumberFormat="1" applyFont="1" applyFill="1" applyBorder="1" applyAlignment="1">
      <alignment vertical="top" wrapText="1"/>
    </xf>
    <xf numFmtId="0" fontId="2" fillId="0" borderId="0" xfId="0" applyFont="1"/>
    <xf numFmtId="0" fontId="1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top" wrapText="1"/>
    </xf>
    <xf numFmtId="0" fontId="3" fillId="3" borderId="1" xfId="0" applyNumberFormat="1" applyFont="1" applyFill="1" applyBorder="1" applyAlignment="1">
      <alignment vertical="top" wrapText="1"/>
    </xf>
    <xf numFmtId="0" fontId="1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35"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vacyFrameworkMapping" displayName="PrivacyFrameworkMapping" ref="A1:L20" headerRowDxfId="34" dataDxfId="33" totalsRowDxfId="32">
  <tableColumns count="12">
    <tableColumn id="1" xr3:uid="{00000000-0010-0000-0000-000001000000}" name="Finding ID" dataDxfId="31"/>
    <tableColumn id="2" xr3:uid="{00000000-0010-0000-0000-000002000000}" name="Finding Title" dataDxfId="30"/>
    <tableColumn id="3" xr3:uid="{00000000-0010-0000-0000-000003000000}" name="Affected Data Element" dataDxfId="29"/>
    <tableColumn id="4" xr3:uid="{00000000-0010-0000-0000-000004000000}" name="Workflow" dataDxfId="28"/>
    <tableColumn id="5" xr3:uid="{00000000-0010-0000-0000-000005000000}" name="Canadian Privacy Principle" dataDxfId="27"/>
    <tableColumn id="6" xr3:uid="{00000000-0010-0000-0000-000006000000}" name="PIPEDA Principle" dataDxfId="26"/>
    <tableColumn id="7" xr3:uid="{00000000-0010-0000-0000-000007000000}" name="Privacy Risk" dataDxfId="25"/>
    <tableColumn id="8" xr3:uid="{00000000-0010-0000-0000-000008000000}" name="Existing Control / Gap" dataDxfId="24"/>
    <tableColumn id="9" xr3:uid="{00000000-0010-0000-0000-000009000000}" name="Recommended Mitigation" dataDxfId="23"/>
    <tableColumn id="10" xr3:uid="{00000000-0010-0000-0000-00000A000000}" name="Evidence Reference" dataDxfId="22"/>
    <tableColumn id="11" xr3:uid="{00000000-0010-0000-0000-00000B000000}" name="Residual Risk" dataDxfId="21"/>
    <tableColumn id="12" xr3:uid="{00000000-0010-0000-0000-00000C000000}" name="Notes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incipleReference" displayName="PrincipleReference" ref="A1:C11" headerRowDxfId="19" dataDxfId="18" totalsRowDxfId="17">
  <tableColumns count="3">
    <tableColumn id="1" xr3:uid="{00000000-0010-0000-0100-000001000000}" name="PIPEDA Principle" dataDxfId="16"/>
    <tableColumn id="2" xr3:uid="{00000000-0010-0000-0100-000002000000}" name="Assessment Use in This Project" dataDxfId="15"/>
    <tableColumn id="3" xr3:uid="{00000000-0010-0000-0100-000003000000}" name="Examples of Related Project Areas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ndingReference" displayName="FindingReference" ref="A1:D8" headerRowDxfId="13" dataDxfId="12" totalsRowDxfId="11">
  <tableColumns count="4">
    <tableColumn id="1" xr3:uid="{00000000-0010-0000-0200-000001000000}" name="Finding ID" dataDxfId="10"/>
    <tableColumn id="2" xr3:uid="{00000000-0010-0000-0200-000002000000}" name="Finding Title" dataDxfId="9"/>
    <tableColumn id="3" xr3:uid="{00000000-0010-0000-0200-000003000000}" name="Primary Privacy Theme" dataDxfId="8"/>
    <tableColumn id="4" xr3:uid="{00000000-0010-0000-0200-000004000000}" name="Core Privacy Interpretation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videnceMap" displayName="EvidenceMap" ref="A1:D7" headerRowDxfId="6" dataDxfId="5" totalsRowDxfId="4">
  <tableColumns count="4">
    <tableColumn id="1" xr3:uid="{00000000-0010-0000-0300-000001000000}" name="Evidence ID" dataDxfId="3"/>
    <tableColumn id="2" xr3:uid="{00000000-0010-0000-0300-000002000000}" name="Evidence Name" dataDxfId="2"/>
    <tableColumn id="3" xr3:uid="{00000000-0010-0000-0300-000003000000}" name="Supports" dataDxfId="1"/>
    <tableColumn id="4" xr3:uid="{00000000-0010-0000-0300-000004000000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opLeftCell="A13" zoomScaleNormal="100" zoomScaleSheetLayoutView="100" workbookViewId="0">
      <selection activeCell="B19" sqref="B19"/>
    </sheetView>
  </sheetViews>
  <sheetFormatPr defaultRowHeight="15"/>
  <cols>
    <col min="1" max="1" width="28" style="2" customWidth="1"/>
    <col min="2" max="2" width="90" style="2" customWidth="1"/>
    <col min="3" max="16384" width="9" style="2"/>
  </cols>
  <sheetData>
    <row r="1" spans="1:12">
      <c r="A1" s="3" t="s">
        <v>0</v>
      </c>
      <c r="B1" s="4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>
      <c r="A2" s="6" t="s">
        <v>2</v>
      </c>
      <c r="B2" s="5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>
      <c r="A3" s="6" t="s">
        <v>4</v>
      </c>
      <c r="B3" s="5" t="s">
        <v>5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30.75">
      <c r="A4" s="6" t="s">
        <v>6</v>
      </c>
      <c r="B4" s="5" t="s">
        <v>7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30.75">
      <c r="A5" s="6" t="s">
        <v>8</v>
      </c>
      <c r="B5" s="5" t="s">
        <v>9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>
      <c r="A6" s="6" t="s">
        <v>10</v>
      </c>
      <c r="B6" s="5">
        <v>19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>
      <c r="A7" s="6" t="s">
        <v>11</v>
      </c>
      <c r="B7" s="5">
        <v>7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>
      <c r="A8" s="6" t="s">
        <v>12</v>
      </c>
      <c r="B8" s="5" t="s">
        <v>13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>
      <c r="A9" s="6" t="s">
        <v>14</v>
      </c>
      <c r="B9" s="5" t="s">
        <v>15</v>
      </c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>
      <c r="A11" s="7" t="s">
        <v>16</v>
      </c>
      <c r="B11" s="7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>
      <c r="A12" s="6" t="s">
        <v>17</v>
      </c>
      <c r="B12" s="5">
        <f>COUNTIF(Framework_Mapping!A:A,"PF-001")</f>
        <v>4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>
      <c r="A13" s="6" t="s">
        <v>18</v>
      </c>
      <c r="B13" s="5">
        <f>COUNTIF(Framework_Mapping!A:A,"PF-002")</f>
        <v>3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>
      <c r="A14" s="6" t="s">
        <v>19</v>
      </c>
      <c r="B14" s="5">
        <f>COUNTIF(Framework_Mapping!A:A,"PF-003")</f>
        <v>2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>
      <c r="A15" s="6" t="s">
        <v>20</v>
      </c>
      <c r="B15" s="5">
        <f>COUNTIF(Framework_Mapping!A:A,"PF-004")</f>
        <v>3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>
      <c r="A16" s="6" t="s">
        <v>21</v>
      </c>
      <c r="B16" s="5">
        <f>COUNTIF(Framework_Mapping!A:A,"PF-005")</f>
        <v>4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6" t="s">
        <v>22</v>
      </c>
      <c r="B17" s="5">
        <f>COUNTIF(Framework_Mapping!A:A,"PF-006")</f>
        <v>1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>
      <c r="A18" s="6" t="s">
        <v>23</v>
      </c>
      <c r="B18" s="5">
        <f>COUNTIF(Framework_Mapping!A:A,"PF-007")</f>
        <v>2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0"/>
  <sheetViews>
    <sheetView zoomScaleNormal="100" zoomScaleSheetLayoutView="100" workbookViewId="0">
      <selection activeCell="C3" sqref="C3"/>
    </sheetView>
  </sheetViews>
  <sheetFormatPr defaultRowHeight="15"/>
  <cols>
    <col min="1" max="1" width="12" customWidth="1"/>
    <col min="2" max="2" width="34" customWidth="1"/>
    <col min="3" max="3" width="30" customWidth="1"/>
    <col min="4" max="4" width="34" customWidth="1"/>
    <col min="5" max="5" width="30" customWidth="1"/>
    <col min="6" max="6" width="42" customWidth="1"/>
    <col min="7" max="7" width="56" customWidth="1"/>
    <col min="8" max="8" width="58" customWidth="1"/>
    <col min="9" max="9" width="60" customWidth="1"/>
    <col min="10" max="10" width="24" customWidth="1"/>
    <col min="11" max="11" width="18" customWidth="1"/>
    <col min="12" max="12" width="48" customWidth="1"/>
  </cols>
  <sheetData>
    <row r="1" spans="1:12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</row>
    <row r="2" spans="1:12" ht="30.7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44</v>
      </c>
      <c r="K2" s="5" t="s">
        <v>45</v>
      </c>
      <c r="L2" s="5" t="s">
        <v>46</v>
      </c>
    </row>
    <row r="3" spans="1:12" ht="30.75">
      <c r="A3" s="5" t="s">
        <v>36</v>
      </c>
      <c r="B3" s="5" t="s">
        <v>37</v>
      </c>
      <c r="C3" s="5" t="s">
        <v>47</v>
      </c>
      <c r="D3" s="5" t="s">
        <v>39</v>
      </c>
      <c r="E3" s="5" t="s">
        <v>40</v>
      </c>
      <c r="F3" s="5" t="s">
        <v>40</v>
      </c>
      <c r="G3" s="5" t="s">
        <v>48</v>
      </c>
      <c r="H3" s="5" t="s">
        <v>49</v>
      </c>
      <c r="I3" s="5" t="s">
        <v>50</v>
      </c>
      <c r="J3" s="5" t="s">
        <v>44</v>
      </c>
      <c r="K3" s="5" t="s">
        <v>45</v>
      </c>
      <c r="L3" s="5" t="s">
        <v>51</v>
      </c>
    </row>
    <row r="4" spans="1:12" ht="30.75">
      <c r="A4" s="5" t="s">
        <v>36</v>
      </c>
      <c r="B4" s="5" t="s">
        <v>37</v>
      </c>
      <c r="C4" s="5" t="s">
        <v>52</v>
      </c>
      <c r="D4" s="5" t="s">
        <v>53</v>
      </c>
      <c r="E4" s="5" t="s">
        <v>40</v>
      </c>
      <c r="F4" s="5" t="s">
        <v>40</v>
      </c>
      <c r="G4" s="5" t="s">
        <v>54</v>
      </c>
      <c r="H4" s="5" t="s">
        <v>55</v>
      </c>
      <c r="I4" s="5" t="s">
        <v>56</v>
      </c>
      <c r="J4" s="5" t="s">
        <v>44</v>
      </c>
      <c r="K4" s="5" t="s">
        <v>45</v>
      </c>
      <c r="L4" s="5" t="s">
        <v>57</v>
      </c>
    </row>
    <row r="5" spans="1:12" ht="30.75">
      <c r="A5" s="5" t="s">
        <v>36</v>
      </c>
      <c r="B5" s="5" t="s">
        <v>37</v>
      </c>
      <c r="C5" s="5" t="s">
        <v>58</v>
      </c>
      <c r="D5" s="5" t="s">
        <v>59</v>
      </c>
      <c r="E5" s="5" t="s">
        <v>40</v>
      </c>
      <c r="F5" s="5" t="s">
        <v>40</v>
      </c>
      <c r="G5" s="5" t="s">
        <v>60</v>
      </c>
      <c r="H5" s="5" t="s">
        <v>61</v>
      </c>
      <c r="I5" s="5" t="s">
        <v>62</v>
      </c>
      <c r="J5" s="5" t="s">
        <v>63</v>
      </c>
      <c r="K5" s="5" t="s">
        <v>45</v>
      </c>
      <c r="L5" s="5" t="s">
        <v>64</v>
      </c>
    </row>
    <row r="6" spans="1:12" ht="30.75">
      <c r="A6" s="5" t="s">
        <v>65</v>
      </c>
      <c r="B6" s="5" t="s">
        <v>66</v>
      </c>
      <c r="C6" s="5" t="s">
        <v>67</v>
      </c>
      <c r="D6" s="5" t="s">
        <v>68</v>
      </c>
      <c r="E6" s="5" t="s">
        <v>69</v>
      </c>
      <c r="F6" s="5" t="s">
        <v>70</v>
      </c>
      <c r="G6" s="5" t="s">
        <v>71</v>
      </c>
      <c r="H6" s="5" t="s">
        <v>72</v>
      </c>
      <c r="I6" s="5" t="s">
        <v>73</v>
      </c>
      <c r="J6" s="5" t="s">
        <v>74</v>
      </c>
      <c r="K6" s="5" t="s">
        <v>45</v>
      </c>
      <c r="L6" s="5" t="s">
        <v>75</v>
      </c>
    </row>
    <row r="7" spans="1:12" ht="30.75">
      <c r="A7" s="5" t="s">
        <v>65</v>
      </c>
      <c r="B7" s="5" t="s">
        <v>66</v>
      </c>
      <c r="C7" s="5" t="s">
        <v>76</v>
      </c>
      <c r="D7" s="5" t="s">
        <v>77</v>
      </c>
      <c r="E7" s="5" t="s">
        <v>69</v>
      </c>
      <c r="F7" s="5" t="s">
        <v>70</v>
      </c>
      <c r="G7" s="5" t="s">
        <v>78</v>
      </c>
      <c r="H7" s="5" t="s">
        <v>79</v>
      </c>
      <c r="I7" s="5" t="s">
        <v>80</v>
      </c>
      <c r="J7" s="5" t="s">
        <v>74</v>
      </c>
      <c r="K7" s="5" t="s">
        <v>45</v>
      </c>
      <c r="L7" s="5" t="s">
        <v>81</v>
      </c>
    </row>
    <row r="8" spans="1:12" ht="30.75">
      <c r="A8" s="5" t="s">
        <v>65</v>
      </c>
      <c r="B8" s="5" t="s">
        <v>66</v>
      </c>
      <c r="C8" s="5" t="s">
        <v>82</v>
      </c>
      <c r="D8" s="5" t="s">
        <v>83</v>
      </c>
      <c r="E8" s="5" t="s">
        <v>69</v>
      </c>
      <c r="F8" s="5" t="s">
        <v>84</v>
      </c>
      <c r="G8" s="5" t="s">
        <v>85</v>
      </c>
      <c r="H8" s="5" t="s">
        <v>86</v>
      </c>
      <c r="I8" s="5" t="s">
        <v>87</v>
      </c>
      <c r="J8" s="5" t="s">
        <v>88</v>
      </c>
      <c r="K8" s="5" t="s">
        <v>45</v>
      </c>
      <c r="L8" s="5" t="s">
        <v>89</v>
      </c>
    </row>
    <row r="9" spans="1:12" ht="30.75">
      <c r="A9" s="5" t="s">
        <v>90</v>
      </c>
      <c r="B9" s="5" t="s">
        <v>91</v>
      </c>
      <c r="C9" s="5" t="s">
        <v>92</v>
      </c>
      <c r="D9" s="5" t="s">
        <v>93</v>
      </c>
      <c r="E9" s="5" t="s">
        <v>94</v>
      </c>
      <c r="F9" s="5" t="s">
        <v>95</v>
      </c>
      <c r="G9" s="5" t="s">
        <v>96</v>
      </c>
      <c r="H9" s="5" t="s">
        <v>97</v>
      </c>
      <c r="I9" s="5" t="s">
        <v>98</v>
      </c>
      <c r="J9" s="5" t="s">
        <v>99</v>
      </c>
      <c r="K9" s="5" t="s">
        <v>45</v>
      </c>
      <c r="L9" s="5" t="s">
        <v>100</v>
      </c>
    </row>
    <row r="10" spans="1:12" ht="30.75">
      <c r="A10" s="5" t="s">
        <v>90</v>
      </c>
      <c r="B10" s="5" t="s">
        <v>91</v>
      </c>
      <c r="C10" s="5" t="s">
        <v>101</v>
      </c>
      <c r="D10" s="5" t="s">
        <v>68</v>
      </c>
      <c r="E10" s="5" t="s">
        <v>94</v>
      </c>
      <c r="F10" s="5" t="s">
        <v>102</v>
      </c>
      <c r="G10" s="5" t="s">
        <v>103</v>
      </c>
      <c r="H10" s="5" t="s">
        <v>104</v>
      </c>
      <c r="I10" s="5" t="s">
        <v>105</v>
      </c>
      <c r="J10" s="5" t="s">
        <v>106</v>
      </c>
      <c r="K10" s="5" t="s">
        <v>45</v>
      </c>
      <c r="L10" s="5" t="s">
        <v>107</v>
      </c>
    </row>
    <row r="11" spans="1:12" ht="30.75">
      <c r="A11" s="5" t="s">
        <v>108</v>
      </c>
      <c r="B11" s="5" t="s">
        <v>109</v>
      </c>
      <c r="C11" s="5" t="s">
        <v>110</v>
      </c>
      <c r="D11" s="5" t="s">
        <v>111</v>
      </c>
      <c r="E11" s="5" t="s">
        <v>112</v>
      </c>
      <c r="F11" s="5" t="s">
        <v>113</v>
      </c>
      <c r="G11" s="5" t="s">
        <v>114</v>
      </c>
      <c r="H11" s="5" t="s">
        <v>115</v>
      </c>
      <c r="I11" s="5" t="s">
        <v>116</v>
      </c>
      <c r="J11" s="5" t="s">
        <v>117</v>
      </c>
      <c r="K11" s="5" t="s">
        <v>118</v>
      </c>
      <c r="L11" s="5" t="s">
        <v>119</v>
      </c>
    </row>
    <row r="12" spans="1:12" ht="30.75">
      <c r="A12" s="5" t="s">
        <v>108</v>
      </c>
      <c r="B12" s="5" t="s">
        <v>109</v>
      </c>
      <c r="C12" s="5" t="s">
        <v>120</v>
      </c>
      <c r="D12" s="5" t="s">
        <v>111</v>
      </c>
      <c r="E12" s="5" t="s">
        <v>94</v>
      </c>
      <c r="F12" s="5" t="s">
        <v>121</v>
      </c>
      <c r="G12" s="5" t="s">
        <v>122</v>
      </c>
      <c r="H12" s="5" t="s">
        <v>123</v>
      </c>
      <c r="I12" s="5" t="s">
        <v>124</v>
      </c>
      <c r="J12" s="5" t="s">
        <v>117</v>
      </c>
      <c r="K12" s="5" t="s">
        <v>118</v>
      </c>
      <c r="L12" s="5" t="s">
        <v>125</v>
      </c>
    </row>
    <row r="13" spans="1:12" ht="30.75">
      <c r="A13" s="5" t="s">
        <v>108</v>
      </c>
      <c r="B13" s="5" t="s">
        <v>109</v>
      </c>
      <c r="C13" s="5" t="s">
        <v>126</v>
      </c>
      <c r="D13" s="5" t="s">
        <v>127</v>
      </c>
      <c r="E13" s="5" t="s">
        <v>128</v>
      </c>
      <c r="F13" s="5" t="s">
        <v>129</v>
      </c>
      <c r="G13" s="5" t="s">
        <v>130</v>
      </c>
      <c r="H13" s="5" t="s">
        <v>131</v>
      </c>
      <c r="I13" s="5" t="s">
        <v>132</v>
      </c>
      <c r="J13" s="5" t="s">
        <v>117</v>
      </c>
      <c r="K13" s="5" t="s">
        <v>45</v>
      </c>
      <c r="L13" s="5" t="s">
        <v>133</v>
      </c>
    </row>
    <row r="14" spans="1:12" ht="30.75">
      <c r="A14" s="5" t="s">
        <v>134</v>
      </c>
      <c r="B14" s="5" t="s">
        <v>135</v>
      </c>
      <c r="C14" s="5" t="s">
        <v>67</v>
      </c>
      <c r="D14" s="5" t="s">
        <v>136</v>
      </c>
      <c r="E14" s="5" t="s">
        <v>137</v>
      </c>
      <c r="F14" s="5" t="s">
        <v>129</v>
      </c>
      <c r="G14" s="5" t="s">
        <v>138</v>
      </c>
      <c r="H14" s="5" t="s">
        <v>139</v>
      </c>
      <c r="I14" s="5" t="s">
        <v>140</v>
      </c>
      <c r="J14" s="5" t="s">
        <v>141</v>
      </c>
      <c r="K14" s="5" t="s">
        <v>45</v>
      </c>
      <c r="L14" s="5" t="s">
        <v>142</v>
      </c>
    </row>
    <row r="15" spans="1:12" ht="30.75">
      <c r="A15" s="5" t="s">
        <v>134</v>
      </c>
      <c r="B15" s="5" t="s">
        <v>135</v>
      </c>
      <c r="C15" s="5" t="s">
        <v>143</v>
      </c>
      <c r="D15" s="5" t="s">
        <v>144</v>
      </c>
      <c r="E15" s="5" t="s">
        <v>137</v>
      </c>
      <c r="F15" s="5" t="s">
        <v>145</v>
      </c>
      <c r="G15" s="5" t="s">
        <v>146</v>
      </c>
      <c r="H15" s="5" t="s">
        <v>147</v>
      </c>
      <c r="I15" s="5" t="s">
        <v>148</v>
      </c>
      <c r="J15" s="5" t="s">
        <v>141</v>
      </c>
      <c r="K15" s="5" t="s">
        <v>45</v>
      </c>
      <c r="L15" s="5" t="s">
        <v>149</v>
      </c>
    </row>
    <row r="16" spans="1:12" ht="30.75">
      <c r="A16" s="5" t="s">
        <v>134</v>
      </c>
      <c r="B16" s="5" t="s">
        <v>135</v>
      </c>
      <c r="C16" s="5" t="s">
        <v>150</v>
      </c>
      <c r="D16" s="5" t="s">
        <v>151</v>
      </c>
      <c r="E16" s="5" t="s">
        <v>137</v>
      </c>
      <c r="F16" s="5" t="s">
        <v>129</v>
      </c>
      <c r="G16" s="5" t="s">
        <v>152</v>
      </c>
      <c r="H16" s="5" t="s">
        <v>153</v>
      </c>
      <c r="I16" s="5" t="s">
        <v>154</v>
      </c>
      <c r="J16" s="5" t="s">
        <v>155</v>
      </c>
      <c r="K16" s="5" t="s">
        <v>45</v>
      </c>
      <c r="L16" s="5" t="s">
        <v>156</v>
      </c>
    </row>
    <row r="17" spans="1:12" ht="30.75">
      <c r="A17" s="5" t="s">
        <v>134</v>
      </c>
      <c r="B17" s="5" t="s">
        <v>135</v>
      </c>
      <c r="C17" s="5" t="s">
        <v>157</v>
      </c>
      <c r="D17" s="5" t="s">
        <v>93</v>
      </c>
      <c r="E17" s="5" t="s">
        <v>158</v>
      </c>
      <c r="F17" s="5" t="s">
        <v>159</v>
      </c>
      <c r="G17" s="5" t="s">
        <v>160</v>
      </c>
      <c r="H17" s="5" t="s">
        <v>161</v>
      </c>
      <c r="I17" s="5" t="s">
        <v>162</v>
      </c>
      <c r="J17" s="5" t="s">
        <v>163</v>
      </c>
      <c r="K17" s="5" t="s">
        <v>45</v>
      </c>
      <c r="L17" s="5" t="s">
        <v>164</v>
      </c>
    </row>
    <row r="18" spans="1:12" ht="30.75">
      <c r="A18" s="5" t="s">
        <v>165</v>
      </c>
      <c r="B18" s="5" t="s">
        <v>166</v>
      </c>
      <c r="C18" s="5" t="s">
        <v>167</v>
      </c>
      <c r="D18" s="5" t="s">
        <v>168</v>
      </c>
      <c r="E18" s="5" t="s">
        <v>94</v>
      </c>
      <c r="F18" s="5" t="s">
        <v>102</v>
      </c>
      <c r="G18" s="5" t="s">
        <v>169</v>
      </c>
      <c r="H18" s="5" t="s">
        <v>170</v>
      </c>
      <c r="I18" s="5" t="s">
        <v>171</v>
      </c>
      <c r="J18" s="5" t="s">
        <v>172</v>
      </c>
      <c r="K18" s="5" t="s">
        <v>173</v>
      </c>
      <c r="L18" s="5" t="s">
        <v>174</v>
      </c>
    </row>
    <row r="19" spans="1:12" ht="30.75">
      <c r="A19" s="5" t="s">
        <v>175</v>
      </c>
      <c r="B19" s="5" t="s">
        <v>176</v>
      </c>
      <c r="C19" s="5" t="s">
        <v>177</v>
      </c>
      <c r="D19" s="5" t="s">
        <v>178</v>
      </c>
      <c r="E19" s="5" t="s">
        <v>69</v>
      </c>
      <c r="F19" s="5" t="s">
        <v>84</v>
      </c>
      <c r="G19" s="5" t="s">
        <v>179</v>
      </c>
      <c r="H19" s="5" t="s">
        <v>180</v>
      </c>
      <c r="I19" s="5" t="s">
        <v>181</v>
      </c>
      <c r="J19" s="5" t="s">
        <v>182</v>
      </c>
      <c r="K19" s="5" t="s">
        <v>45</v>
      </c>
      <c r="L19" s="5" t="s">
        <v>183</v>
      </c>
    </row>
    <row r="20" spans="1:12" ht="30.75">
      <c r="A20" s="5" t="s">
        <v>175</v>
      </c>
      <c r="B20" s="5" t="s">
        <v>176</v>
      </c>
      <c r="C20" s="5" t="s">
        <v>184</v>
      </c>
      <c r="D20" s="5" t="s">
        <v>185</v>
      </c>
      <c r="E20" s="5" t="s">
        <v>40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45</v>
      </c>
      <c r="L20" s="5" t="s">
        <v>191</v>
      </c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0"/>
  <sheetViews>
    <sheetView zoomScaleNormal="100" zoomScaleSheetLayoutView="100" workbookViewId="0">
      <selection activeCell="B12" sqref="B12"/>
    </sheetView>
  </sheetViews>
  <sheetFormatPr defaultRowHeight="15"/>
  <cols>
    <col min="1" max="1" width="28" customWidth="1"/>
    <col min="2" max="2" width="44" customWidth="1"/>
    <col min="3" max="3" width="50" customWidth="1"/>
    <col min="4" max="4" width="56" customWidth="1"/>
  </cols>
  <sheetData>
    <row r="1" spans="1:12">
      <c r="A1" s="4" t="s">
        <v>29</v>
      </c>
      <c r="B1" s="4" t="s">
        <v>192</v>
      </c>
      <c r="C1" s="4" t="s">
        <v>193</v>
      </c>
      <c r="D1" s="1"/>
      <c r="E1" s="1"/>
      <c r="F1" s="1"/>
      <c r="G1" s="1"/>
      <c r="H1" s="1"/>
      <c r="I1" s="1"/>
      <c r="J1" s="1"/>
      <c r="K1" s="1"/>
      <c r="L1" s="1"/>
    </row>
    <row r="2" spans="1:12" ht="30.75">
      <c r="A2" s="5" t="s">
        <v>94</v>
      </c>
      <c r="B2" s="5" t="s">
        <v>194</v>
      </c>
      <c r="C2" s="5" t="s">
        <v>195</v>
      </c>
      <c r="D2" s="1"/>
      <c r="E2" s="1"/>
      <c r="F2" s="1"/>
      <c r="G2" s="1"/>
      <c r="H2" s="1"/>
      <c r="I2" s="1"/>
      <c r="J2" s="1"/>
      <c r="K2" s="1"/>
      <c r="L2" s="1"/>
    </row>
    <row r="3" spans="1:12" ht="30.75">
      <c r="A3" s="5" t="s">
        <v>196</v>
      </c>
      <c r="B3" s="5" t="s">
        <v>197</v>
      </c>
      <c r="C3" s="5" t="s">
        <v>198</v>
      </c>
      <c r="D3" s="1"/>
      <c r="E3" s="1"/>
      <c r="F3" s="1"/>
      <c r="G3" s="1"/>
      <c r="H3" s="1"/>
      <c r="I3" s="1"/>
      <c r="J3" s="1"/>
      <c r="K3" s="1"/>
      <c r="L3" s="1"/>
    </row>
    <row r="4" spans="1:12" ht="30.75">
      <c r="A4" s="5" t="s">
        <v>199</v>
      </c>
      <c r="B4" s="5" t="s">
        <v>200</v>
      </c>
      <c r="C4" s="5" t="s">
        <v>201</v>
      </c>
      <c r="D4" s="1"/>
      <c r="E4" s="1"/>
      <c r="F4" s="1"/>
      <c r="G4" s="1"/>
      <c r="H4" s="1"/>
      <c r="I4" s="1"/>
      <c r="J4" s="1"/>
      <c r="K4" s="1"/>
      <c r="L4" s="1"/>
    </row>
    <row r="5" spans="1:12" ht="30.75">
      <c r="A5" s="5" t="s">
        <v>202</v>
      </c>
      <c r="B5" s="5" t="s">
        <v>203</v>
      </c>
      <c r="C5" s="5" t="s">
        <v>204</v>
      </c>
      <c r="D5" s="1"/>
      <c r="E5" s="1"/>
      <c r="F5" s="1"/>
      <c r="G5" s="1"/>
      <c r="H5" s="1"/>
      <c r="I5" s="1"/>
      <c r="J5" s="1"/>
      <c r="K5" s="1"/>
      <c r="L5" s="1"/>
    </row>
    <row r="6" spans="1:12" ht="30.75">
      <c r="A6" s="5" t="s">
        <v>205</v>
      </c>
      <c r="B6" s="5" t="s">
        <v>206</v>
      </c>
      <c r="C6" s="5" t="s">
        <v>207</v>
      </c>
      <c r="D6" s="1"/>
      <c r="E6" s="1"/>
      <c r="F6" s="1"/>
      <c r="G6" s="1"/>
      <c r="H6" s="1"/>
      <c r="I6" s="1"/>
      <c r="J6" s="1"/>
      <c r="K6" s="1"/>
      <c r="L6" s="1"/>
    </row>
    <row r="7" spans="1:12" ht="30.75">
      <c r="A7" s="5" t="s">
        <v>208</v>
      </c>
      <c r="B7" s="5" t="s">
        <v>209</v>
      </c>
      <c r="C7" s="5" t="s">
        <v>210</v>
      </c>
      <c r="D7" s="1"/>
      <c r="E7" s="1"/>
      <c r="F7" s="1"/>
      <c r="G7" s="1"/>
      <c r="H7" s="1"/>
      <c r="I7" s="1"/>
      <c r="J7" s="1"/>
      <c r="K7" s="1"/>
      <c r="L7" s="1"/>
    </row>
    <row r="8" spans="1:12" ht="45.75">
      <c r="A8" s="5" t="s">
        <v>40</v>
      </c>
      <c r="B8" s="5" t="s">
        <v>211</v>
      </c>
      <c r="C8" s="5" t="s">
        <v>212</v>
      </c>
      <c r="D8" s="1"/>
      <c r="E8" s="1"/>
      <c r="F8" s="1"/>
      <c r="G8" s="1"/>
      <c r="H8" s="1"/>
      <c r="I8" s="1"/>
      <c r="J8" s="1"/>
      <c r="K8" s="1"/>
      <c r="L8" s="1"/>
    </row>
    <row r="9" spans="1:12" ht="30.75">
      <c r="A9" s="5" t="s">
        <v>213</v>
      </c>
      <c r="B9" s="5" t="s">
        <v>214</v>
      </c>
      <c r="C9" s="5" t="s">
        <v>215</v>
      </c>
      <c r="D9" s="1"/>
      <c r="E9" s="1"/>
      <c r="F9" s="1"/>
      <c r="G9" s="1"/>
      <c r="H9" s="1"/>
      <c r="I9" s="1"/>
      <c r="J9" s="1"/>
      <c r="K9" s="1"/>
      <c r="L9" s="1"/>
    </row>
    <row r="10" spans="1:12" ht="30.75">
      <c r="A10" s="5" t="s">
        <v>216</v>
      </c>
      <c r="B10" s="5" t="s">
        <v>217</v>
      </c>
      <c r="C10" s="5" t="s">
        <v>218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ht="30.75">
      <c r="A11" s="5" t="s">
        <v>219</v>
      </c>
      <c r="B11" s="5" t="s">
        <v>220</v>
      </c>
      <c r="C11" s="5" t="s">
        <v>221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0"/>
  <sheetViews>
    <sheetView zoomScaleNormal="100" zoomScaleSheetLayoutView="100" workbookViewId="0">
      <selection activeCell="C14" sqref="C14"/>
    </sheetView>
  </sheetViews>
  <sheetFormatPr defaultRowHeight="15"/>
  <cols>
    <col min="1" max="1" width="28" customWidth="1"/>
    <col min="2" max="2" width="44" customWidth="1"/>
    <col min="3" max="3" width="50" customWidth="1"/>
    <col min="4" max="4" width="56" customWidth="1"/>
  </cols>
  <sheetData>
    <row r="1" spans="1:12">
      <c r="A1" s="4" t="s">
        <v>24</v>
      </c>
      <c r="B1" s="4" t="s">
        <v>25</v>
      </c>
      <c r="C1" s="4" t="s">
        <v>222</v>
      </c>
      <c r="D1" s="4" t="s">
        <v>223</v>
      </c>
      <c r="E1" s="1"/>
      <c r="F1" s="1"/>
      <c r="G1" s="1"/>
      <c r="H1" s="1"/>
      <c r="I1" s="1"/>
      <c r="J1" s="1"/>
      <c r="K1" s="1"/>
      <c r="L1" s="1"/>
    </row>
    <row r="2" spans="1:12" ht="30.75">
      <c r="A2" s="5" t="s">
        <v>36</v>
      </c>
      <c r="B2" s="5" t="s">
        <v>37</v>
      </c>
      <c r="C2" s="5" t="s">
        <v>40</v>
      </c>
      <c r="D2" s="5" t="s">
        <v>224</v>
      </c>
      <c r="E2" s="1"/>
      <c r="F2" s="1"/>
      <c r="G2" s="1"/>
      <c r="H2" s="1"/>
      <c r="I2" s="1"/>
      <c r="J2" s="1"/>
      <c r="K2" s="1"/>
      <c r="L2" s="1"/>
    </row>
    <row r="3" spans="1:12" ht="30.75">
      <c r="A3" s="5" t="s">
        <v>65</v>
      </c>
      <c r="B3" s="5" t="s">
        <v>66</v>
      </c>
      <c r="C3" s="5" t="s">
        <v>225</v>
      </c>
      <c r="D3" s="5" t="s">
        <v>226</v>
      </c>
      <c r="E3" s="1"/>
      <c r="F3" s="1"/>
      <c r="G3" s="1"/>
      <c r="H3" s="1"/>
      <c r="I3" s="1"/>
      <c r="J3" s="1"/>
      <c r="K3" s="1"/>
      <c r="L3" s="1"/>
    </row>
    <row r="4" spans="1:12" ht="30.75">
      <c r="A4" s="5" t="s">
        <v>90</v>
      </c>
      <c r="B4" s="5" t="s">
        <v>91</v>
      </c>
      <c r="C4" s="5" t="s">
        <v>94</v>
      </c>
      <c r="D4" s="5" t="s">
        <v>227</v>
      </c>
      <c r="E4" s="1"/>
      <c r="F4" s="1"/>
      <c r="G4" s="1"/>
      <c r="H4" s="1"/>
      <c r="I4" s="1"/>
      <c r="J4" s="1"/>
      <c r="K4" s="1"/>
      <c r="L4" s="1"/>
    </row>
    <row r="5" spans="1:12" ht="30.75">
      <c r="A5" s="5" t="s">
        <v>108</v>
      </c>
      <c r="B5" s="5" t="s">
        <v>109</v>
      </c>
      <c r="C5" s="5" t="s">
        <v>228</v>
      </c>
      <c r="D5" s="5" t="s">
        <v>229</v>
      </c>
      <c r="E5" s="1"/>
      <c r="F5" s="1"/>
      <c r="G5" s="1"/>
      <c r="H5" s="1"/>
      <c r="I5" s="1"/>
      <c r="J5" s="1"/>
      <c r="K5" s="1"/>
      <c r="L5" s="1"/>
    </row>
    <row r="6" spans="1:12" ht="30.75">
      <c r="A6" s="5" t="s">
        <v>134</v>
      </c>
      <c r="B6" s="5" t="s">
        <v>135</v>
      </c>
      <c r="C6" s="5" t="s">
        <v>230</v>
      </c>
      <c r="D6" s="5" t="s">
        <v>231</v>
      </c>
      <c r="E6" s="1"/>
      <c r="F6" s="1"/>
      <c r="G6" s="1"/>
      <c r="H6" s="1"/>
      <c r="I6" s="1"/>
      <c r="J6" s="1"/>
      <c r="K6" s="1"/>
      <c r="L6" s="1"/>
    </row>
    <row r="7" spans="1:12" ht="30.75">
      <c r="A7" s="5" t="s">
        <v>165</v>
      </c>
      <c r="B7" s="5" t="s">
        <v>166</v>
      </c>
      <c r="C7" s="5" t="s">
        <v>94</v>
      </c>
      <c r="D7" s="5" t="s">
        <v>232</v>
      </c>
      <c r="E7" s="1"/>
      <c r="F7" s="1"/>
      <c r="G7" s="1"/>
      <c r="H7" s="1"/>
      <c r="I7" s="1"/>
      <c r="J7" s="1"/>
      <c r="K7" s="1"/>
      <c r="L7" s="1"/>
    </row>
    <row r="8" spans="1:12" ht="30.75">
      <c r="A8" s="5" t="s">
        <v>175</v>
      </c>
      <c r="B8" s="5" t="s">
        <v>176</v>
      </c>
      <c r="C8" s="5" t="s">
        <v>233</v>
      </c>
      <c r="D8" s="5" t="s">
        <v>234</v>
      </c>
      <c r="E8" s="1"/>
      <c r="F8" s="1"/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0"/>
  <sheetViews>
    <sheetView tabSelected="1" zoomScaleNormal="100" zoomScaleSheetLayoutView="100" workbookViewId="0">
      <selection activeCell="C16" sqref="C16"/>
    </sheetView>
  </sheetViews>
  <sheetFormatPr defaultRowHeight="15"/>
  <cols>
    <col min="1" max="1" width="28" customWidth="1"/>
    <col min="2" max="2" width="44" customWidth="1"/>
    <col min="3" max="3" width="50" customWidth="1"/>
    <col min="4" max="4" width="56" customWidth="1"/>
  </cols>
  <sheetData>
    <row r="1" spans="1:12">
      <c r="A1" s="4" t="s">
        <v>235</v>
      </c>
      <c r="B1" s="4" t="s">
        <v>236</v>
      </c>
      <c r="C1" s="4" t="s">
        <v>237</v>
      </c>
      <c r="D1" s="4" t="s">
        <v>35</v>
      </c>
      <c r="E1" s="1"/>
      <c r="F1" s="1"/>
      <c r="G1" s="1"/>
      <c r="H1" s="1"/>
      <c r="I1" s="1"/>
      <c r="J1" s="1"/>
      <c r="K1" s="1"/>
      <c r="L1" s="1"/>
    </row>
    <row r="2" spans="1:12">
      <c r="A2" s="5" t="s">
        <v>63</v>
      </c>
      <c r="B2" s="5" t="s">
        <v>238</v>
      </c>
      <c r="C2" s="5" t="s">
        <v>239</v>
      </c>
      <c r="D2" s="5" t="s">
        <v>240</v>
      </c>
      <c r="E2" s="1"/>
      <c r="F2" s="1"/>
      <c r="G2" s="1"/>
      <c r="H2" s="1"/>
      <c r="I2" s="1"/>
      <c r="J2" s="1"/>
      <c r="K2" s="1"/>
      <c r="L2" s="1"/>
    </row>
    <row r="3" spans="1:12" ht="30.75">
      <c r="A3" s="5" t="s">
        <v>241</v>
      </c>
      <c r="B3" s="5" t="s">
        <v>242</v>
      </c>
      <c r="C3" s="5" t="s">
        <v>243</v>
      </c>
      <c r="D3" s="5" t="s">
        <v>244</v>
      </c>
      <c r="E3" s="1"/>
      <c r="F3" s="1"/>
      <c r="G3" s="1"/>
      <c r="H3" s="1"/>
      <c r="I3" s="1"/>
      <c r="J3" s="1"/>
      <c r="K3" s="1"/>
      <c r="L3" s="1"/>
    </row>
    <row r="4" spans="1:12" ht="30.75">
      <c r="A4" s="5" t="s">
        <v>245</v>
      </c>
      <c r="B4" s="5" t="s">
        <v>246</v>
      </c>
      <c r="C4" s="5" t="s">
        <v>247</v>
      </c>
      <c r="D4" s="5" t="s">
        <v>248</v>
      </c>
      <c r="E4" s="1"/>
      <c r="F4" s="1"/>
      <c r="G4" s="1"/>
      <c r="H4" s="1"/>
      <c r="I4" s="1"/>
      <c r="J4" s="1"/>
      <c r="K4" s="1"/>
      <c r="L4" s="1"/>
    </row>
    <row r="5" spans="1:12">
      <c r="A5" s="5" t="s">
        <v>74</v>
      </c>
      <c r="B5" s="5" t="s">
        <v>249</v>
      </c>
      <c r="C5" s="5" t="s">
        <v>250</v>
      </c>
      <c r="D5" s="5" t="s">
        <v>251</v>
      </c>
      <c r="E5" s="1"/>
      <c r="F5" s="1"/>
      <c r="G5" s="1"/>
      <c r="H5" s="1"/>
      <c r="I5" s="1"/>
      <c r="J5" s="1"/>
      <c r="K5" s="1"/>
      <c r="L5" s="1"/>
    </row>
    <row r="6" spans="1:12" ht="30.75">
      <c r="A6" s="5" t="s">
        <v>99</v>
      </c>
      <c r="B6" s="5" t="s">
        <v>252</v>
      </c>
      <c r="C6" s="5" t="s">
        <v>253</v>
      </c>
      <c r="D6" s="5" t="s">
        <v>254</v>
      </c>
      <c r="E6" s="1"/>
      <c r="F6" s="1"/>
      <c r="G6" s="1"/>
      <c r="H6" s="1"/>
      <c r="I6" s="1"/>
      <c r="J6" s="1"/>
      <c r="K6" s="1"/>
      <c r="L6" s="1"/>
    </row>
    <row r="7" spans="1:12">
      <c r="A7" s="5" t="s">
        <v>255</v>
      </c>
      <c r="B7" s="5" t="s">
        <v>256</v>
      </c>
      <c r="C7" s="5" t="s">
        <v>257</v>
      </c>
      <c r="D7" s="5" t="s">
        <v>258</v>
      </c>
      <c r="E7" s="1"/>
      <c r="F7" s="1"/>
      <c r="G7" s="1"/>
      <c r="H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2026-06-17T18:31:57Z</dcterms:created>
  <dcterms:modified xsi:type="dcterms:W3CDTF">2026-06-17T18:31:57Z</dcterms:modified>
  <cp:category/>
  <cp:contentStatus/>
</cp:coreProperties>
</file>