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xr:revisionPtr revIDLastSave="7" documentId="11_21D95783DFF145A749A2148192153564437A1773" xr6:coauthVersionLast="47" xr6:coauthVersionMax="47" xr10:uidLastSave="{15AC26E7-26D4-4AE1-9060-D141C2B70A20}"/>
  <bookViews>
    <workbookView xWindow="0" yWindow="0" windowWidth="0" windowHeight="0" activeTab="5" xr2:uid="{00000000-000D-0000-FFFF-FFFF00000000}"/>
  </bookViews>
  <sheets>
    <sheet name="Summary" sheetId="1" r:id="rId1"/>
    <sheet name="Evidence_Index" sheetId="2" r:id="rId2"/>
    <sheet name="Reference_Lists" sheetId="3" r:id="rId3"/>
    <sheet name="Finding_Reference" sheetId="4" r:id="rId4"/>
    <sheet name="Evidence_Use_Map" sheetId="5" r:id="rId5"/>
    <sheet name="Evidence_Finding_Link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<sst xmlns="http://schemas.openxmlformats.org/spreadsheetml/2006/main" count="376" uniqueCount="209">
  <si>
    <t>Workbook</t>
  </si>
  <si>
    <t>11_Evidence_Index.xlsx</t>
  </si>
  <si>
    <t>Project</t>
  </si>
  <si>
    <t>Privacy Impact &amp; Data Handling Risk Assessment: Customer-Facing Reservation Platform</t>
  </si>
  <si>
    <t>Purpose</t>
  </si>
  <si>
    <t>Centralized evidence traceability index for privacy findings, risks, remediation actions, and assessment documentation.</t>
  </si>
  <si>
    <t>Scope Note</t>
  </si>
  <si>
    <t>Evidence references are sanitized or generalized. No real customer data, credentials, confidential production records, or proprietary evidence are included.</t>
  </si>
  <si>
    <t>Important Limitation</t>
  </si>
  <si>
    <t>This evidence index supports a portfolio privacy assessment. It is not a regulatory audit, legal opinion, official PIA submission, or compliance attestation.</t>
  </si>
  <si>
    <t>Primary Framework Lens</t>
  </si>
  <si>
    <t>PIPEDA Fair Information Principles used for alignment only.</t>
  </si>
  <si>
    <t>Total Evidence Groups</t>
  </si>
  <si>
    <t>High Reliability Evidence Groups</t>
  </si>
  <si>
    <t>Medium Reliability Evidence Groups</t>
  </si>
  <si>
    <t>Evidence Groups Linked to PF-001</t>
  </si>
  <si>
    <t>Evidence Groups Linked to PF-002</t>
  </si>
  <si>
    <t>Evidence Groups Linked to PF-003</t>
  </si>
  <si>
    <t>Evidence Groups Linked to PF-004</t>
  </si>
  <si>
    <t>Evidence Groups Linked to PF-005</t>
  </si>
  <si>
    <t>Evidence Groups Linked to PF-006</t>
  </si>
  <si>
    <t>Evidence Groups Linked to PF-007</t>
  </si>
  <si>
    <t>Evidence ID</t>
  </si>
  <si>
    <t>Evidence Name</t>
  </si>
  <si>
    <t>Related Finding / Risk</t>
  </si>
  <si>
    <t>Evidence Type</t>
  </si>
  <si>
    <t>Source</t>
  </si>
  <si>
    <t>Description</t>
  </si>
  <si>
    <t>Sanitization Applied</t>
  </si>
  <si>
    <t>Date Reviewed</t>
  </si>
  <si>
    <t>Reliability</t>
  </si>
  <si>
    <t>Notes</t>
  </si>
  <si>
    <t>EV-001</t>
  </si>
  <si>
    <t>Sanitized Data Model Reference</t>
  </si>
  <si>
    <t>PF-001; PR-001; SG-001; RM-001; RM-002</t>
  </si>
  <si>
    <t>Sanitized code/model evidence</t>
  </si>
  <si>
    <t>Contact_Model_PII.png; Info_Model_PII.png; Testing_Workpapers.docx T-03 PII Encryption Test</t>
  </si>
  <si>
    <t>Supports identification of personal information fields and field-level protection differences. Email and contact number are protected with field-level encryption while first name, last name, address, and company information are documented as plaintext in the reviewed model evidence.</t>
  </si>
  <si>
    <t>Field values are not real customer records. Screenshots are sanitized. Any sensitive implementation details should remain masked.</t>
  </si>
  <si>
    <t>High</t>
  </si>
  <si>
    <t>Supports PF-001 and related safeguards recommendations. Does not certify encryption sufficiency or legal compliance.</t>
  </si>
  <si>
    <t>EV-002</t>
  </si>
  <si>
    <t>Sanitized Application Workflow Reference</t>
  </si>
  <si>
    <t>PF-002; PF-004; PF-005; PF-007; PR-002; PR-005; PR-008</t>
  </si>
  <si>
    <t>Workflow documentation</t>
  </si>
  <si>
    <t>Data_Flow.docx; Walkthrough_Documentation.docx; No_Login_Cart.png; No_Login_Checkout_Form.png</t>
  </si>
  <si>
    <t>Supports reservation, contact, checkout, payment, order creation, reservation update, and confirmation email workflows. Documents that customers can proceed through booking and checkout without authentication.</t>
  </si>
  <si>
    <t>No real customer records included. Workflow descriptions are generalized and screenshots are sanitized.</t>
  </si>
  <si>
    <t>Used to support data flow mapping, inventory workflow alignment, payment boundary notes, and authentication/access limitation observations.</t>
  </si>
  <si>
    <t>EV-003</t>
  </si>
  <si>
    <t>Sanitized Vendor Dependency Reference</t>
  </si>
  <si>
    <t>PF-004; PF-006; PR-005; PR-007; RM-009; RM-010</t>
  </si>
  <si>
    <t>Vendor dependency evidence</t>
  </si>
  <si>
    <t>Data_Flow.docx; Testing_Workpapers.docx T-07 Third-Party Risk; No_Third_Party_Audit_Evidence.png</t>
  </si>
  <si>
    <t>Supports documentation of Stripe, Gmail SMTP, Cloudinary, Render, GitHub, and database dependency context. Shows third-party services are used and vendor risk assessment evidence is incomplete.</t>
  </si>
  <si>
    <t>Vendor details are summarized at a portfolio level. No vendor contracts, confidential terms, or proprietary evidence are included.</t>
  </si>
  <si>
    <t>Does not audit Stripe, Gmail, Cloudinary, Render, GitHub, or database provider controls.</t>
  </si>
  <si>
    <t>EV-004</t>
  </si>
  <si>
    <t>Sanitized Access Review Reference</t>
  </si>
  <si>
    <t>PF-002; PF-003; PF-006; PR-002; PR-003; RM-003; RM-004; RM-005; RM-006</t>
  </si>
  <si>
    <t>Access governance evidence</t>
  </si>
  <si>
    <t>Access_Control_Analysis.docx; No_Auth_RBAC_Middleware.png; UAR_Review.xlsx; SoD_Analysis.xlsx</t>
  </si>
  <si>
    <t>Supports observations about lack of authentication, absence of RBAC, broad developer privileged access, fragmented third-party access ownership, and lack of centralized access governance.</t>
  </si>
  <si>
    <t>User names, credentials, production identifiers, and sensitive access details are sanitized or generalized.</t>
  </si>
  <si>
    <t>Supports privacy access limitation and accountability analysis. Does not claim a completed formal access review program.</t>
  </si>
  <si>
    <t>EV-005</t>
  </si>
  <si>
    <t>Sanitized Logging Review Reference</t>
  </si>
  <si>
    <t>PF-003; PF-006; PR-004; PR-012; RM-007; RM-008</t>
  </si>
  <si>
    <t>Logging evidence</t>
  </si>
  <si>
    <t>Testing_Workpapers.docx T-06 Logging Test; Existing_System_Logs.png; No_Access_Activity_Logging.png</t>
  </si>
  <si>
    <t>Supports observation that Winston system-level logging exists for errors and system events but dedicated user access and administrative activity logging is not structured.</t>
  </si>
  <si>
    <t>Log screenshots are sanitized and should not include real customer records, secrets, tokens, or sensitive identifiers.</t>
  </si>
  <si>
    <t>Supports logging and accountability gaps. Does not prove complete production logging coverage.</t>
  </si>
  <si>
    <t>EV-006</t>
  </si>
  <si>
    <t>Sanitized Retention Review Reference</t>
  </si>
  <si>
    <t>PF-005; PF-006; PR-006; PR-009; PR-010; PR-012; RM-011; RM-012; RM-013</t>
  </si>
  <si>
    <t>Derived documentation gap evidence</t>
  </si>
  <si>
    <t>03_Personal_Information_Inventory.xlsx; 04_Data_Flow_Map.md; 05_PIA_Style_Privacy_Assessment.md; absence of formal retention schedule in provided ITGC evidence</t>
  </si>
  <si>
    <t>Supports retention and deletion considerations for reservation records, contact messages, orders, payment references, transactional emails, and logs. This evidence group reflects a documentation gap rather than a confirmed retention schedule.</t>
  </si>
  <si>
    <t>No real retention records or customer records are included. Retention observations are based on sanitized assessment context and absence of formal retention documentation in available evidence.</t>
  </si>
  <si>
    <t>Medium</t>
  </si>
  <si>
    <t>Use carefully. This supports a recommendation to document retention rules, not a claim that retention is unlawful or non-compliant.</t>
  </si>
  <si>
    <t>EV-007</t>
  </si>
  <si>
    <t>Sanitized Secrets Management Reference</t>
  </si>
  <si>
    <t>PF-001; PF-002; PR-003; SG-006; RM-015</t>
  </si>
  <si>
    <t>Configuration evidence</t>
  </si>
  <si>
    <t>Testing_Workpapers.docx T-04 Secrets Management; env_File_Masked.png</t>
  </si>
  <si>
    <t>Supports observation that sensitive credentials such as database connection strings, Stripe keys, email credentials, and Cloudinary keys are stored in environment variables, with broad developer access noted as a safeguard concern.</t>
  </si>
  <si>
    <t>Secrets are masked. No real credentials, tokens, API keys, connection strings, or environment values are included.</t>
  </si>
  <si>
    <t>Supports safeguards and breach exposure analysis. Does not imply credentials were publicly exposed.</t>
  </si>
  <si>
    <t>EV-008</t>
  </si>
  <si>
    <t>Sanitized Change Management Reference</t>
  </si>
  <si>
    <t>PF-007; PR-008; RM-014</t>
  </si>
  <si>
    <t>Change management evidence</t>
  </si>
  <si>
    <t>Testing_Workpapers.docx T-05 Change Management; Direct_Commits_Main_Branch.png; Single_Main_Branch.png</t>
  </si>
  <si>
    <t>Supports observation that code changes may be committed directly to the main branch and deployed without formal pull request approval, staging validation, or independent review.</t>
  </si>
  <si>
    <t>Repository screenshots are sanitized and do not include confidential source code or secrets.</t>
  </si>
  <si>
    <t>Supports change governance risk for systems handling personal information.</t>
  </si>
  <si>
    <t>EV-009</t>
  </si>
  <si>
    <t>Sanitized ITGC Project Charter Reference</t>
  </si>
  <si>
    <t>PF-001; PF-002; PF-003; PF-004; PF-005; PF-007</t>
  </si>
  <si>
    <t>Project scope documentation</t>
  </si>
  <si>
    <t>Project_Charter Project Charter.docx</t>
  </si>
  <si>
    <t>Supports ITGC project scope, system context, in-scope processes, out-of-scope limitations, and initial control assessment boundaries.</t>
  </si>
  <si>
    <t>Project context is summarized and does not include confidential business evidence or real customer records.</t>
  </si>
  <si>
    <t>Useful for assessment boundaries. Specific findings should be supported by more detailed testing or workflow evidence.</t>
  </si>
  <si>
    <t>EV-010</t>
  </si>
  <si>
    <t>Sanitized Executive Summary Reference</t>
  </si>
  <si>
    <t>PF-001; PF-002; PF-003; PF-004; PF-007</t>
  </si>
  <si>
    <t>Summary documentation</t>
  </si>
  <si>
    <t>Executive_Summary.docx</t>
  </si>
  <si>
    <t>Summarizes key ITGC findings related to authentication, RBAC, privileged access, PII protection, secrets, change management, logging, and third-party services.</t>
  </si>
  <si>
    <t>Summary is generalized and does not include real customer data or confidential production details.</t>
  </si>
  <si>
    <t>Useful as overview evidence, but detailed testing evidence should be preferred for specific conclusions.</t>
  </si>
  <si>
    <t>EV-011</t>
  </si>
  <si>
    <t>Sanitized Control Testing Methodology Reference</t>
  </si>
  <si>
    <t>PF-001; PF-002; PF-003; PF-004; PF-007; PF-006</t>
  </si>
  <si>
    <t>Methodology documentation</t>
  </si>
  <si>
    <t>Control_Testing_Methodology.docx</t>
  </si>
  <si>
    <t>Documents testing approach, Test of Design, Test of Operating Effectiveness, evidence evaluation criteria, sampling methodology, and result classification.</t>
  </si>
  <si>
    <t>Methodology contains no customer data and is used as procedural support only.</t>
  </si>
  <si>
    <t>Supports evidence reliability discipline. Does not itself prove a control gap.</t>
  </si>
  <si>
    <t>EV-012</t>
  </si>
  <si>
    <t>Sanitized Risk and Remediation Source Reference</t>
  </si>
  <si>
    <t>PF-001; PF-002; PF-003; PF-004; PF-005; PF-006; PF-007</t>
  </si>
  <si>
    <t>Risk and remediation documentation</t>
  </si>
  <si>
    <t>Risk_Register.xlsx; Findings_Log.xlsx; Remediation_Tracker.xlsx; ITGC_Control_Matrix.xlsx</t>
  </si>
  <si>
    <t>Supports linkage between ITGC control observations, risk documentation, findings, remediation planning, and privacy risk translation.</t>
  </si>
  <si>
    <t>Spreadsheet sources are sanitized. No confidential production evidence or real customer data should be included.</t>
  </si>
  <si>
    <t>Used as supporting source only. Privacy project risk register remains separate from ITGC risk register.</t>
  </si>
  <si>
    <t>Status/Use Note</t>
  </si>
  <si>
    <t>PIPEDA Principle</t>
  </si>
  <si>
    <t>Evidence Group</t>
  </si>
  <si>
    <t>Direct support for finding</t>
  </si>
  <si>
    <t>Accountability</t>
  </si>
  <si>
    <t>Supporting context</t>
  </si>
  <si>
    <t>Identifying Purposes</t>
  </si>
  <si>
    <t>Low</t>
  </si>
  <si>
    <t>Directional only</t>
  </si>
  <si>
    <t>Consent</t>
  </si>
  <si>
    <t>No compliance conclusion</t>
  </si>
  <si>
    <t>Limiting Collection</t>
  </si>
  <si>
    <t>No vendor audit</t>
  </si>
  <si>
    <t>Limiting Use, Disclosure, and Retention</t>
  </si>
  <si>
    <t>No legal opinion</t>
  </si>
  <si>
    <t>Accuracy</t>
  </si>
  <si>
    <t>Safeguards</t>
  </si>
  <si>
    <t>Openness</t>
  </si>
  <si>
    <t>Individual Access</t>
  </si>
  <si>
    <t>Challenging Compliance</t>
  </si>
  <si>
    <t>Spreadsheet evidence</t>
  </si>
  <si>
    <t>Finding ID</t>
  </si>
  <si>
    <t>Finding Title</t>
  </si>
  <si>
    <t>Evidence Support Needed</t>
  </si>
  <si>
    <t>Primary Evidence Groups</t>
  </si>
  <si>
    <t>PF-001</t>
  </si>
  <si>
    <t>Inconsistent Field-Level Protection</t>
  </si>
  <si>
    <t>Data model or testing evidence showing protected and plaintext fields.</t>
  </si>
  <si>
    <t>EV-001; EV-007</t>
  </si>
  <si>
    <t>PF-002</t>
  </si>
  <si>
    <t>RBAC / Access Limitation Gap</t>
  </si>
  <si>
    <t>Access review evidence, RBAC absence evidence, authentication/access control test evidence.</t>
  </si>
  <si>
    <t>EV-002; EV-004; EV-007</t>
  </si>
  <si>
    <t>PF-003</t>
  </si>
  <si>
    <t>Limited Audit Logging</t>
  </si>
  <si>
    <t>Logging test evidence showing system logging exists but user/admin logging is missing.</t>
  </si>
  <si>
    <t>PF-004</t>
  </si>
  <si>
    <t>Stripe Third-Party Processing Dependency</t>
  </si>
  <si>
    <t>Vendor dependency evidence, data flow evidence, payment boundary notes.</t>
  </si>
  <si>
    <t>EV-002; EV-003</t>
  </si>
  <si>
    <t>PF-005</t>
  </si>
  <si>
    <t>Retention / Deletion Documentation Incomplete</t>
  </si>
  <si>
    <t>Inventory and data flow evidence showing record locations and absence of formal retention schedule.</t>
  </si>
  <si>
    <t>PF-006</t>
  </si>
  <si>
    <t>Evidence Traceability Gap</t>
  </si>
  <si>
    <t>Evidence index and methodology evidence showing need for centralized traceability.</t>
  </si>
  <si>
    <t>EV-006; EV-011; EV-012</t>
  </si>
  <si>
    <t>PF-007</t>
  </si>
  <si>
    <t>Change Management Risk for Systems Handling Personal Information</t>
  </si>
  <si>
    <t>Repository and deployment evidence showing missing formal review or approval process.</t>
  </si>
  <si>
    <t>Deliverable</t>
  </si>
  <si>
    <t>How Evidence Index Supports It</t>
  </si>
  <si>
    <t>03_Personal_Information_Inventory.xlsx</t>
  </si>
  <si>
    <t>Supports data element identification, source collection point, storage location, safeguards notes, and evidence references.</t>
  </si>
  <si>
    <t>EV-001; EV-002; EV-003; EV-004; EV-005; EV-006</t>
  </si>
  <si>
    <t>04_Data_Flow_Map.md</t>
  </si>
  <si>
    <t>Supports mapping of reservation, contact, checkout, payment, admin access, email, logging, and vendor workflows.</t>
  </si>
  <si>
    <t>EV-002; EV-003; EV-004; EV-005</t>
  </si>
  <si>
    <t>05_PIA_Style_Privacy_Assessment.md</t>
  </si>
  <si>
    <t>Supports privacy risk analysis, safeguards assessment, third-party processing assessment, retention notes, and limitations.</t>
  </si>
  <si>
    <t>EV-001; EV-002; EV-003; EV-004; EV-005; EV-006; EV-008</t>
  </si>
  <si>
    <t>06_Canadian_Privacy_Framework_Mapping.xlsx</t>
  </si>
  <si>
    <t>Supports mapping findings to principles through evidence-backed observations.</t>
  </si>
  <si>
    <t>EV-001; EV-003; EV-004; EV-005; EV-006; EV-008</t>
  </si>
  <si>
    <t>07_Privacy_Safeguards_Gap_Log.xlsx</t>
  </si>
  <si>
    <t>Supports safeguard gap documentation and recommended actions.</t>
  </si>
  <si>
    <t>EV-001; EV-004; EV-005; EV-007; EV-008</t>
  </si>
  <si>
    <t>08_Vendor_Processing_Assessment_Stripe.md</t>
  </si>
  <si>
    <t>Supports Stripe payment boundary, vendor processing notes, access ownership, and vendor evidence gap observations.</t>
  </si>
  <si>
    <t>EV-002; EV-003; EV-004; EV-007</t>
  </si>
  <si>
    <t>09_Privacy_Risk_Register.xlsx</t>
  </si>
  <si>
    <t>Supports risk statements, cause, impact, existing controls, control gaps, mitigation, and evidence references.</t>
  </si>
  <si>
    <t>EV-001; EV-002; EV-003; EV-004; EV-005; EV-006; EV-008; EV-012</t>
  </si>
  <si>
    <t>10_Remediation_Tracker.xlsx</t>
  </si>
  <si>
    <t>Supports evidence required and closure criteria for remediation items.</t>
  </si>
  <si>
    <t>EV-001; EV-003; EV-004; EV-005; EV-006; EV-007; EV-008</t>
  </si>
  <si>
    <t>12_Executive_Summary.md</t>
  </si>
  <si>
    <t>Supports business-level summary of top privacy risks and evidence-backed recommendations.</t>
  </si>
  <si>
    <t>EV-001; EV-003; EV-004; EV-005; EV-006; EV-008; EV-010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</si>
</sst>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sz val="10"/>
      <name val="Aptos"/>
    </font>
    <font>
      <b/>
      <sz val="10"/>
      <color rgb="FFFFFFFF"/>
      <name val="Calibri"/>
      <scheme val="minor"/>
    </font>
    <font>
      <b/>
      <sz val="10"/>
      <name val="Calibri"/>
      <scheme val="minor"/>
    </font>
    <font>
      <sz val="10"/>
      <name val="Calibri"/>
      <scheme val="minor"/>
    </font>
    <font>
      <b/>
      <sz val="11"/>
      <color rgb="FFFFFFFF"/>
      <name val="Calibri"/>
      <scheme val="minor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NumberFormat="1" applyFont="1" applyFill="1" applyBorder="1"/>
    <xf numFmtId="164" fontId="1" fillId="0" borderId="1" xfId="0" applyNumberFormat="1" applyFont="1" applyFill="1" applyBorder="1"/>
    <xf numFmtId="0" fontId="2" fillId="3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/>
    </xf>
    <xf numFmtId="0" fontId="4" fillId="0" borderId="1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center" vertical="top" wrapText="1"/>
    </xf>
    <xf numFmtId="164" fontId="4" fillId="0" borderId="1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center" wrapText="1"/>
    </xf>
    <xf numFmtId="0" fontId="4" fillId="0" borderId="1" xfId="0" applyNumberFormat="1" applyFont="1" applyFill="1" applyBorder="1" applyAlignment="1">
      <alignment wrapText="1"/>
    </xf>
    <xf numFmtId="0" fontId="5" fillId="2" borderId="1" xfId="0" applyNumberFormat="1" applyFont="1" applyFill="1" applyBorder="1" applyAlignment="1">
      <alignment horizontal="center" wrapText="1"/>
    </xf>
    <xf numFmtId="0" fontId="6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42"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idenceIndexTable" displayName="EvidenceIndexTable" ref="A1:J13" headerRowDxfId="39" dataDxfId="38" totalsRowDxfId="37">
  <tableColumns count="10">
    <tableColumn id="1" xr3:uid="{00000000-0010-0000-0000-000001000000}" name="Evidence ID" dataDxfId="36"/>
    <tableColumn id="2" xr3:uid="{00000000-0010-0000-0000-000002000000}" name="Evidence Name" dataDxfId="35"/>
    <tableColumn id="3" xr3:uid="{00000000-0010-0000-0000-000003000000}" name="Related Finding / Risk" dataDxfId="34"/>
    <tableColumn id="4" xr3:uid="{00000000-0010-0000-0000-000004000000}" name="Evidence Type" dataDxfId="33"/>
    <tableColumn id="5" xr3:uid="{00000000-0010-0000-0000-000005000000}" name="Source" dataDxfId="32"/>
    <tableColumn id="6" xr3:uid="{00000000-0010-0000-0000-000006000000}" name="Description" dataDxfId="31"/>
    <tableColumn id="7" xr3:uid="{00000000-0010-0000-0000-000007000000}" name="Sanitization Applied" dataDxfId="30"/>
    <tableColumn id="8" xr3:uid="{00000000-0010-0000-0000-000008000000}" name="Date Reviewed" dataDxfId="29"/>
    <tableColumn id="9" xr3:uid="{00000000-0010-0000-0000-000009000000}" name="Reliability" dataDxfId="28"/>
    <tableColumn id="10" xr3:uid="{00000000-0010-0000-0000-00000A000000}" name="Notes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erenceListsTable" displayName="ReferenceListsTable" ref="A1:E13" headerRowDxfId="26" dataDxfId="25" totalsRowDxfId="24">
  <tableColumns count="5">
    <tableColumn id="1" xr3:uid="{00000000-0010-0000-0100-000001000000}" name="Evidence Type" dataDxfId="23"/>
    <tableColumn id="2" xr3:uid="{00000000-0010-0000-0100-000002000000}" name="Reliability" dataDxfId="22"/>
    <tableColumn id="3" xr3:uid="{00000000-0010-0000-0100-000003000000}" name="Status/Use Note" dataDxfId="21"/>
    <tableColumn id="4" xr3:uid="{00000000-0010-0000-0100-000004000000}" name="PIPEDA Principle" dataDxfId="20"/>
    <tableColumn id="5" xr3:uid="{00000000-0010-0000-0100-000005000000}" name="Evidence Group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ndingReferenceTable" displayName="FindingReferenceTable" ref="A1:D8" headerRowDxfId="18" dataDxfId="17" totalsRowDxfId="16">
  <tableColumns count="4">
    <tableColumn id="1" xr3:uid="{00000000-0010-0000-0200-000001000000}" name="Finding ID" dataDxfId="15"/>
    <tableColumn id="2" xr3:uid="{00000000-0010-0000-0200-000002000000}" name="Finding Title" dataDxfId="14"/>
    <tableColumn id="3" xr3:uid="{00000000-0010-0000-0200-000003000000}" name="Evidence Support Needed" dataDxfId="13"/>
    <tableColumn id="4" xr3:uid="{00000000-0010-0000-0200-000004000000}" name="Primary Evidence Groups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idenceUseMapTable" displayName="EvidenceUseMapTable" ref="A1:C10" headerRowDxfId="11" dataDxfId="10" totalsRowDxfId="9">
  <tableColumns count="3">
    <tableColumn id="1" xr3:uid="{00000000-0010-0000-0300-000001000000}" name="Deliverable" dataDxfId="8"/>
    <tableColumn id="2" xr3:uid="{00000000-0010-0000-0300-000002000000}" name="How Evidence Index Supports It" dataDxfId="7"/>
    <tableColumn id="3" xr3:uid="{00000000-0010-0000-0300-000003000000}" name="Primary Evidence Groups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videnceFindingLinkTable" displayName="EvidenceFindingLinkTable" ref="A1:C42" headerRowDxfId="5" dataDxfId="4" totalsRowDxfId="3">
  <tableColumns count="3">
    <tableColumn id="1" xr3:uid="{00000000-0010-0000-0400-000001000000}" name="Evidence ID" dataDxfId="2"/>
    <tableColumn id="2" xr3:uid="{00000000-0010-0000-0400-000002000000}" name="Finding ID" dataDxfId="1"/>
    <tableColumn id="3" xr3:uid="{00000000-0010-0000-0400-000003000000}" name="Evidence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zoomScaleNormal="100" zoomScaleSheetLayoutView="100" workbookViewId="0">
      <selection activeCell="A18" sqref="A18"/>
    </sheetView>
  </sheetViews>
  <sheetFormatPr defaultRowHeight="15"/>
  <cols>
    <col min="1" max="1" width="32" customWidth="1"/>
    <col min="2" max="2" width="82" customWidth="1"/>
  </cols>
  <sheetData>
    <row r="1" spans="1:26">
      <c r="A1" s="3" t="s">
        <v>0</v>
      </c>
      <c r="B1" s="4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" t="s">
        <v>2</v>
      </c>
      <c r="B2" s="6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5" t="s">
        <v>4</v>
      </c>
      <c r="B3" s="6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>
      <c r="A4" s="5" t="s">
        <v>6</v>
      </c>
      <c r="B4" s="6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>
      <c r="A5" s="5" t="s">
        <v>8</v>
      </c>
      <c r="B5" s="6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 t="s">
        <v>10</v>
      </c>
      <c r="B6" s="6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 t="s">
        <v>12</v>
      </c>
      <c r="B7" s="6">
        <f>COUNTA(Evidence_Index!A2:A100)</f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 t="s">
        <v>13</v>
      </c>
      <c r="B8" s="6">
        <f>COUNTIF(Evidence_Index!I2:I100,"High")</f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 t="s">
        <v>14</v>
      </c>
      <c r="B9" s="6">
        <f>COUNTIF(Evidence_Index!I2:I100,"Medium")</f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 t="s">
        <v>15</v>
      </c>
      <c r="B10" s="6">
        <f>COUNTIF(Evidence_Finding_Link!B:B,"PF-001")</f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 t="s">
        <v>16</v>
      </c>
      <c r="B11" s="6">
        <f>COUNTIF(Evidence_Finding_Link!B:B,"PF-002")</f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5" t="s">
        <v>17</v>
      </c>
      <c r="B12" s="6">
        <f>COUNTIF(Evidence_Finding_Link!B:B,"PF-003")</f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" t="s">
        <v>18</v>
      </c>
      <c r="B13" s="6">
        <f>COUNTIF(Evidence_Finding_Link!B:B,"PF-004")</f>
        <v>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5" t="s">
        <v>19</v>
      </c>
      <c r="B14" s="6">
        <f>COUNTIF(Evidence_Finding_Link!B:B,"PF-005")</f>
        <v>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5" t="s">
        <v>20</v>
      </c>
      <c r="B15" s="6">
        <f>COUNTIF(Evidence_Finding_Link!B:B,"PF-006")</f>
        <v>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5" t="s">
        <v>21</v>
      </c>
      <c r="B16" s="6">
        <f>COUNTIF(Evidence_Finding_Link!B:B,"PF-007")</f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zoomScaleNormal="100" zoomScaleSheetLayoutView="100" workbookViewId="0">
      <selection sqref="A1:J13"/>
    </sheetView>
  </sheetViews>
  <sheetFormatPr defaultRowHeight="15"/>
  <cols>
    <col min="1" max="1" width="13" customWidth="1"/>
    <col min="2" max="2" width="34" customWidth="1"/>
    <col min="3" max="3" width="36" customWidth="1"/>
    <col min="4" max="4" width="24" customWidth="1"/>
    <col min="5" max="5" width="48" customWidth="1"/>
    <col min="6" max="6" width="65" customWidth="1"/>
    <col min="7" max="7" width="50" customWidth="1"/>
    <col min="8" max="8" width="15" customWidth="1"/>
    <col min="9" max="9" width="14" customWidth="1"/>
    <col min="10" max="10" width="55" customWidth="1"/>
  </cols>
  <sheetData>
    <row r="1" spans="1:26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8">
        <v>46142</v>
      </c>
      <c r="I2" s="6" t="s">
        <v>39</v>
      </c>
      <c r="J2" s="6" t="s">
        <v>40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0.5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8">
        <v>46142</v>
      </c>
      <c r="I3" s="6" t="s">
        <v>39</v>
      </c>
      <c r="J3" s="6" t="s">
        <v>48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5">
      <c r="A4" s="6" t="s">
        <v>49</v>
      </c>
      <c r="B4" s="6" t="s">
        <v>50</v>
      </c>
      <c r="C4" s="6" t="s">
        <v>51</v>
      </c>
      <c r="D4" s="6" t="s">
        <v>52</v>
      </c>
      <c r="E4" s="6" t="s">
        <v>53</v>
      </c>
      <c r="F4" s="6" t="s">
        <v>54</v>
      </c>
      <c r="G4" s="6" t="s">
        <v>55</v>
      </c>
      <c r="H4" s="8">
        <v>46142</v>
      </c>
      <c r="I4" s="6" t="s">
        <v>39</v>
      </c>
      <c r="J4" s="6" t="s">
        <v>56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>
      <c r="A5" s="6" t="s">
        <v>57</v>
      </c>
      <c r="B5" s="6" t="s">
        <v>58</v>
      </c>
      <c r="C5" s="6" t="s">
        <v>59</v>
      </c>
      <c r="D5" s="6" t="s">
        <v>60</v>
      </c>
      <c r="E5" s="6" t="s">
        <v>61</v>
      </c>
      <c r="F5" s="6" t="s">
        <v>62</v>
      </c>
      <c r="G5" s="6" t="s">
        <v>63</v>
      </c>
      <c r="H5" s="8">
        <v>46142</v>
      </c>
      <c r="I5" s="6" t="s">
        <v>39</v>
      </c>
      <c r="J5" s="6" t="s">
        <v>64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>
      <c r="A6" s="6" t="s">
        <v>65</v>
      </c>
      <c r="B6" s="6" t="s">
        <v>66</v>
      </c>
      <c r="C6" s="6" t="s">
        <v>67</v>
      </c>
      <c r="D6" s="6" t="s">
        <v>68</v>
      </c>
      <c r="E6" s="6" t="s">
        <v>69</v>
      </c>
      <c r="F6" s="6" t="s">
        <v>70</v>
      </c>
      <c r="G6" s="6" t="s">
        <v>71</v>
      </c>
      <c r="H6" s="8">
        <v>46142</v>
      </c>
      <c r="I6" s="6" t="s">
        <v>39</v>
      </c>
      <c r="J6" s="6" t="s">
        <v>72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0.5">
      <c r="A7" s="6" t="s">
        <v>73</v>
      </c>
      <c r="B7" s="6" t="s">
        <v>74</v>
      </c>
      <c r="C7" s="6" t="s">
        <v>75</v>
      </c>
      <c r="D7" s="6" t="s">
        <v>76</v>
      </c>
      <c r="E7" s="6" t="s">
        <v>77</v>
      </c>
      <c r="F7" s="6" t="s">
        <v>78</v>
      </c>
      <c r="G7" s="6" t="s">
        <v>79</v>
      </c>
      <c r="H7" s="8">
        <v>46142</v>
      </c>
      <c r="I7" s="6" t="s">
        <v>80</v>
      </c>
      <c r="J7" s="6" t="s">
        <v>81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.5">
      <c r="A8" s="6" t="s">
        <v>82</v>
      </c>
      <c r="B8" s="6" t="s">
        <v>83</v>
      </c>
      <c r="C8" s="6" t="s">
        <v>84</v>
      </c>
      <c r="D8" s="6" t="s">
        <v>85</v>
      </c>
      <c r="E8" s="6" t="s">
        <v>86</v>
      </c>
      <c r="F8" s="6" t="s">
        <v>87</v>
      </c>
      <c r="G8" s="6" t="s">
        <v>88</v>
      </c>
      <c r="H8" s="8">
        <v>46142</v>
      </c>
      <c r="I8" s="6" t="s">
        <v>39</v>
      </c>
      <c r="J8" s="6" t="s">
        <v>89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>
      <c r="A9" s="6" t="s">
        <v>90</v>
      </c>
      <c r="B9" s="6" t="s">
        <v>91</v>
      </c>
      <c r="C9" s="6" t="s">
        <v>92</v>
      </c>
      <c r="D9" s="6" t="s">
        <v>93</v>
      </c>
      <c r="E9" s="6" t="s">
        <v>94</v>
      </c>
      <c r="F9" s="6" t="s">
        <v>95</v>
      </c>
      <c r="G9" s="6" t="s">
        <v>96</v>
      </c>
      <c r="H9" s="8">
        <v>46142</v>
      </c>
      <c r="I9" s="6" t="s">
        <v>39</v>
      </c>
      <c r="J9" s="6" t="s">
        <v>97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>
      <c r="A10" s="6" t="s">
        <v>98</v>
      </c>
      <c r="B10" s="6" t="s">
        <v>99</v>
      </c>
      <c r="C10" s="6" t="s">
        <v>100</v>
      </c>
      <c r="D10" s="6" t="s">
        <v>101</v>
      </c>
      <c r="E10" s="6" t="s">
        <v>102</v>
      </c>
      <c r="F10" s="6" t="s">
        <v>103</v>
      </c>
      <c r="G10" s="6" t="s">
        <v>104</v>
      </c>
      <c r="H10" s="8">
        <v>46142</v>
      </c>
      <c r="I10" s="6" t="s">
        <v>80</v>
      </c>
      <c r="J10" s="6" t="s">
        <v>105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>
      <c r="A11" s="6" t="s">
        <v>106</v>
      </c>
      <c r="B11" s="6" t="s">
        <v>107</v>
      </c>
      <c r="C11" s="6" t="s">
        <v>108</v>
      </c>
      <c r="D11" s="6" t="s">
        <v>109</v>
      </c>
      <c r="E11" s="6" t="s">
        <v>110</v>
      </c>
      <c r="F11" s="6" t="s">
        <v>111</v>
      </c>
      <c r="G11" s="6" t="s">
        <v>112</v>
      </c>
      <c r="H11" s="8">
        <v>46142</v>
      </c>
      <c r="I11" s="6" t="s">
        <v>80</v>
      </c>
      <c r="J11" s="6" t="s">
        <v>113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>
      <c r="A12" s="6" t="s">
        <v>114</v>
      </c>
      <c r="B12" s="6" t="s">
        <v>115</v>
      </c>
      <c r="C12" s="6" t="s">
        <v>116</v>
      </c>
      <c r="D12" s="6" t="s">
        <v>117</v>
      </c>
      <c r="E12" s="6" t="s">
        <v>118</v>
      </c>
      <c r="F12" s="6" t="s">
        <v>119</v>
      </c>
      <c r="G12" s="6" t="s">
        <v>120</v>
      </c>
      <c r="H12" s="8">
        <v>46142</v>
      </c>
      <c r="I12" s="6" t="s">
        <v>80</v>
      </c>
      <c r="J12" s="6" t="s">
        <v>121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>
      <c r="A13" s="6" t="s">
        <v>122</v>
      </c>
      <c r="B13" s="6" t="s">
        <v>123</v>
      </c>
      <c r="C13" s="6" t="s">
        <v>124</v>
      </c>
      <c r="D13" s="6" t="s">
        <v>125</v>
      </c>
      <c r="E13" s="6" t="s">
        <v>126</v>
      </c>
      <c r="F13" s="6" t="s">
        <v>127</v>
      </c>
      <c r="G13" s="6" t="s">
        <v>128</v>
      </c>
      <c r="H13" s="8">
        <v>46142</v>
      </c>
      <c r="I13" s="6" t="s">
        <v>80</v>
      </c>
      <c r="J13" s="6" t="s">
        <v>129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conditionalFormatting sqref="I2:I13">
    <cfRule type="expression" dxfId="41" priority="1">
      <formula>I2="High"</formula>
    </cfRule>
    <cfRule type="expression" dxfId="40" priority="2">
      <formula>I2="Medium"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Reference_Lists!$A$2:$A$13</xm:f>
          </x14:formula1>
          <xm:sqref>D2:D100</xm:sqref>
        </x14:dataValidation>
        <x14:dataValidation type="list" xr:uid="{00000000-0002-0000-0100-000001000000}">
          <x14:formula1>
            <xm:f>Reference_Lists!$B$2:$B$4</xm:f>
          </x14:formula1>
          <xm:sqref>I2:I100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zoomScaleNormal="100" zoomScaleSheetLayoutView="100" workbookViewId="0">
      <selection sqref="A1:E13"/>
    </sheetView>
  </sheetViews>
  <sheetFormatPr defaultRowHeight="15"/>
  <cols>
    <col min="1" max="1" width="34" customWidth="1"/>
    <col min="2" max="2" width="16" customWidth="1"/>
    <col min="3" max="3" width="28" customWidth="1"/>
    <col min="4" max="4" width="38" customWidth="1"/>
    <col min="5" max="5" width="18" customWidth="1"/>
  </cols>
  <sheetData>
    <row r="1" spans="1:26">
      <c r="A1" s="9" t="s">
        <v>25</v>
      </c>
      <c r="B1" s="9" t="s">
        <v>30</v>
      </c>
      <c r="C1" s="9" t="s">
        <v>130</v>
      </c>
      <c r="D1" s="9" t="s">
        <v>131</v>
      </c>
      <c r="E1" s="9" t="s">
        <v>132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0" t="s">
        <v>35</v>
      </c>
      <c r="B2" s="10" t="s">
        <v>39</v>
      </c>
      <c r="C2" s="10" t="s">
        <v>133</v>
      </c>
      <c r="D2" s="10" t="s">
        <v>134</v>
      </c>
      <c r="E2" s="10" t="s">
        <v>32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0" t="s">
        <v>44</v>
      </c>
      <c r="B3" s="10" t="s">
        <v>80</v>
      </c>
      <c r="C3" s="10" t="s">
        <v>135</v>
      </c>
      <c r="D3" s="10" t="s">
        <v>136</v>
      </c>
      <c r="E3" s="10" t="s">
        <v>41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0" t="s">
        <v>52</v>
      </c>
      <c r="B4" s="10" t="s">
        <v>137</v>
      </c>
      <c r="C4" s="10" t="s">
        <v>138</v>
      </c>
      <c r="D4" s="10" t="s">
        <v>139</v>
      </c>
      <c r="E4" s="10" t="s">
        <v>49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 t="s">
        <v>60</v>
      </c>
      <c r="B5" s="10"/>
      <c r="C5" s="10" t="s">
        <v>140</v>
      </c>
      <c r="D5" s="10" t="s">
        <v>141</v>
      </c>
      <c r="E5" s="10" t="s">
        <v>57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 t="s">
        <v>68</v>
      </c>
      <c r="B6" s="10"/>
      <c r="C6" s="10" t="s">
        <v>142</v>
      </c>
      <c r="D6" s="10" t="s">
        <v>143</v>
      </c>
      <c r="E6" s="10" t="s">
        <v>65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 t="s">
        <v>85</v>
      </c>
      <c r="B7" s="10"/>
      <c r="C7" s="10" t="s">
        <v>144</v>
      </c>
      <c r="D7" s="10" t="s">
        <v>145</v>
      </c>
      <c r="E7" s="10" t="s">
        <v>73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 t="s">
        <v>93</v>
      </c>
      <c r="B8" s="10"/>
      <c r="C8" s="10"/>
      <c r="D8" s="10" t="s">
        <v>146</v>
      </c>
      <c r="E8" s="10" t="s">
        <v>82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 t="s">
        <v>101</v>
      </c>
      <c r="B9" s="10"/>
      <c r="C9" s="10"/>
      <c r="D9" s="10" t="s">
        <v>147</v>
      </c>
      <c r="E9" s="10" t="s">
        <v>90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 t="s">
        <v>109</v>
      </c>
      <c r="B10" s="10"/>
      <c r="C10" s="10"/>
      <c r="D10" s="10" t="s">
        <v>148</v>
      </c>
      <c r="E10" s="10" t="s">
        <v>98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 t="s">
        <v>117</v>
      </c>
      <c r="B11" s="10"/>
      <c r="C11" s="10"/>
      <c r="D11" s="10" t="s">
        <v>149</v>
      </c>
      <c r="E11" s="10" t="s">
        <v>106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 t="s">
        <v>125</v>
      </c>
      <c r="B12" s="10"/>
      <c r="C12" s="10"/>
      <c r="D12" s="10"/>
      <c r="E12" s="10" t="s">
        <v>114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 t="s">
        <v>150</v>
      </c>
      <c r="B13" s="10"/>
      <c r="C13" s="10"/>
      <c r="D13" s="10"/>
      <c r="E13" s="10" t="s">
        <v>122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zoomScaleNormal="100" zoomScaleSheetLayoutView="100" workbookViewId="0">
      <selection sqref="A1:D8"/>
    </sheetView>
  </sheetViews>
  <sheetFormatPr defaultRowHeight="15"/>
  <cols>
    <col min="1" max="1" width="14" customWidth="1"/>
    <col min="2" max="2" width="42" customWidth="1"/>
    <col min="3" max="3" width="65" customWidth="1"/>
    <col min="4" max="4" width="28" customWidth="1"/>
  </cols>
  <sheetData>
    <row r="1" spans="1:26">
      <c r="A1" s="9" t="s">
        <v>151</v>
      </c>
      <c r="B1" s="9" t="s">
        <v>152</v>
      </c>
      <c r="C1" s="9" t="s">
        <v>153</v>
      </c>
      <c r="D1" s="9" t="s">
        <v>154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0" t="s">
        <v>155</v>
      </c>
      <c r="B2" s="10" t="s">
        <v>156</v>
      </c>
      <c r="C2" s="10" t="s">
        <v>157</v>
      </c>
      <c r="D2" s="10" t="s">
        <v>158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0" t="s">
        <v>159</v>
      </c>
      <c r="B3" s="10" t="s">
        <v>160</v>
      </c>
      <c r="C3" s="10" t="s">
        <v>161</v>
      </c>
      <c r="D3" s="10" t="s">
        <v>162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0" t="s">
        <v>163</v>
      </c>
      <c r="B4" s="10" t="s">
        <v>164</v>
      </c>
      <c r="C4" s="10" t="s">
        <v>165</v>
      </c>
      <c r="D4" s="10" t="s">
        <v>65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 t="s">
        <v>166</v>
      </c>
      <c r="B5" s="10" t="s">
        <v>167</v>
      </c>
      <c r="C5" s="10" t="s">
        <v>168</v>
      </c>
      <c r="D5" s="10" t="s">
        <v>169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>
      <c r="A6" s="10" t="s">
        <v>170</v>
      </c>
      <c r="B6" s="10" t="s">
        <v>171</v>
      </c>
      <c r="C6" s="10" t="s">
        <v>172</v>
      </c>
      <c r="D6" s="10" t="s">
        <v>73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 t="s">
        <v>173</v>
      </c>
      <c r="B7" s="10" t="s">
        <v>174</v>
      </c>
      <c r="C7" s="10" t="s">
        <v>175</v>
      </c>
      <c r="D7" s="10" t="s">
        <v>176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>
      <c r="A8" s="10" t="s">
        <v>177</v>
      </c>
      <c r="B8" s="10" t="s">
        <v>178</v>
      </c>
      <c r="C8" s="10" t="s">
        <v>179</v>
      </c>
      <c r="D8" s="10" t="s">
        <v>90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zoomScaleNormal="100" zoomScaleSheetLayoutView="100" workbookViewId="0">
      <selection sqref="A1:C10"/>
    </sheetView>
  </sheetViews>
  <sheetFormatPr defaultRowHeight="15"/>
  <cols>
    <col min="1" max="1" width="40" customWidth="1"/>
    <col min="2" max="2" width="75" customWidth="1"/>
    <col min="3" max="3" width="40" customWidth="1"/>
  </cols>
  <sheetData>
    <row r="1" spans="1:26">
      <c r="A1" s="9" t="s">
        <v>180</v>
      </c>
      <c r="B1" s="9" t="s">
        <v>181</v>
      </c>
      <c r="C1" s="9" t="s">
        <v>154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>
      <c r="A2" s="10" t="s">
        <v>182</v>
      </c>
      <c r="B2" s="10" t="s">
        <v>183</v>
      </c>
      <c r="C2" s="10" t="s">
        <v>184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>
      <c r="A3" s="10" t="s">
        <v>185</v>
      </c>
      <c r="B3" s="10" t="s">
        <v>186</v>
      </c>
      <c r="C3" s="10" t="s">
        <v>187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>
      <c r="A4" s="10" t="s">
        <v>188</v>
      </c>
      <c r="B4" s="10" t="s">
        <v>189</v>
      </c>
      <c r="C4" s="10" t="s">
        <v>190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 t="s">
        <v>191</v>
      </c>
      <c r="B5" s="10" t="s">
        <v>192</v>
      </c>
      <c r="C5" s="10" t="s">
        <v>193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 t="s">
        <v>194</v>
      </c>
      <c r="B6" s="10" t="s">
        <v>195</v>
      </c>
      <c r="C6" s="10" t="s">
        <v>196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>
      <c r="A7" s="10" t="s">
        <v>197</v>
      </c>
      <c r="B7" s="10" t="s">
        <v>198</v>
      </c>
      <c r="C7" s="10" t="s">
        <v>199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>
      <c r="A8" s="10" t="s">
        <v>200</v>
      </c>
      <c r="B8" s="10" t="s">
        <v>201</v>
      </c>
      <c r="C8" s="10" t="s">
        <v>202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 t="s">
        <v>203</v>
      </c>
      <c r="B9" s="10" t="s">
        <v>204</v>
      </c>
      <c r="C9" s="10" t="s">
        <v>205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 t="s">
        <v>206</v>
      </c>
      <c r="B10" s="10" t="s">
        <v>207</v>
      </c>
      <c r="C10" s="10" t="s">
        <v>208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tabSelected="1" zoomScaleNormal="100" zoomScaleSheetLayoutView="100" workbookViewId="0">
      <selection sqref="A1:C42"/>
    </sheetView>
  </sheetViews>
  <sheetFormatPr defaultRowHeight="15"/>
  <cols>
    <col min="1" max="2" width="14" customWidth="1"/>
    <col min="3" max="3" width="42" customWidth="1"/>
  </cols>
  <sheetData>
    <row r="1" spans="1:3">
      <c r="A1" s="11" t="s">
        <v>22</v>
      </c>
      <c r="B1" s="11" t="s">
        <v>151</v>
      </c>
      <c r="C1" s="11" t="s">
        <v>23</v>
      </c>
    </row>
    <row r="2" spans="1:3">
      <c r="A2" s="12" t="s">
        <v>32</v>
      </c>
      <c r="B2" s="12" t="s">
        <v>155</v>
      </c>
      <c r="C2" s="12" t="s">
        <v>33</v>
      </c>
    </row>
    <row r="3" spans="1:3">
      <c r="A3" s="12" t="s">
        <v>41</v>
      </c>
      <c r="B3" s="12" t="s">
        <v>159</v>
      </c>
      <c r="C3" s="12" t="s">
        <v>42</v>
      </c>
    </row>
    <row r="4" spans="1:3">
      <c r="A4" s="12" t="s">
        <v>41</v>
      </c>
      <c r="B4" s="12" t="s">
        <v>166</v>
      </c>
      <c r="C4" s="12" t="s">
        <v>42</v>
      </c>
    </row>
    <row r="5" spans="1:3">
      <c r="A5" s="12" t="s">
        <v>41</v>
      </c>
      <c r="B5" s="12" t="s">
        <v>170</v>
      </c>
      <c r="C5" s="12" t="s">
        <v>42</v>
      </c>
    </row>
    <row r="6" spans="1:3">
      <c r="A6" s="12" t="s">
        <v>41</v>
      </c>
      <c r="B6" s="12" t="s">
        <v>177</v>
      </c>
      <c r="C6" s="12" t="s">
        <v>42</v>
      </c>
    </row>
    <row r="7" spans="1:3">
      <c r="A7" s="12" t="s">
        <v>49</v>
      </c>
      <c r="B7" s="12" t="s">
        <v>166</v>
      </c>
      <c r="C7" s="12" t="s">
        <v>50</v>
      </c>
    </row>
    <row r="8" spans="1:3">
      <c r="A8" s="12" t="s">
        <v>49</v>
      </c>
      <c r="B8" s="12" t="s">
        <v>173</v>
      </c>
      <c r="C8" s="12" t="s">
        <v>50</v>
      </c>
    </row>
    <row r="9" spans="1:3">
      <c r="A9" s="12" t="s">
        <v>57</v>
      </c>
      <c r="B9" s="12" t="s">
        <v>159</v>
      </c>
      <c r="C9" s="12" t="s">
        <v>58</v>
      </c>
    </row>
    <row r="10" spans="1:3">
      <c r="A10" s="12" t="s">
        <v>57</v>
      </c>
      <c r="B10" s="12" t="s">
        <v>163</v>
      </c>
      <c r="C10" s="12" t="s">
        <v>58</v>
      </c>
    </row>
    <row r="11" spans="1:3">
      <c r="A11" s="12" t="s">
        <v>57</v>
      </c>
      <c r="B11" s="12" t="s">
        <v>173</v>
      </c>
      <c r="C11" s="12" t="s">
        <v>58</v>
      </c>
    </row>
    <row r="12" spans="1:3">
      <c r="A12" s="12" t="s">
        <v>65</v>
      </c>
      <c r="B12" s="12" t="s">
        <v>163</v>
      </c>
      <c r="C12" s="12" t="s">
        <v>66</v>
      </c>
    </row>
    <row r="13" spans="1:3">
      <c r="A13" s="12" t="s">
        <v>65</v>
      </c>
      <c r="B13" s="12" t="s">
        <v>173</v>
      </c>
      <c r="C13" s="12" t="s">
        <v>66</v>
      </c>
    </row>
    <row r="14" spans="1:3">
      <c r="A14" s="12" t="s">
        <v>73</v>
      </c>
      <c r="B14" s="12" t="s">
        <v>170</v>
      </c>
      <c r="C14" s="12" t="s">
        <v>74</v>
      </c>
    </row>
    <row r="15" spans="1:3">
      <c r="A15" s="12" t="s">
        <v>73</v>
      </c>
      <c r="B15" s="12" t="s">
        <v>173</v>
      </c>
      <c r="C15" s="12" t="s">
        <v>74</v>
      </c>
    </row>
    <row r="16" spans="1:3">
      <c r="A16" s="12" t="s">
        <v>82</v>
      </c>
      <c r="B16" s="12" t="s">
        <v>155</v>
      </c>
      <c r="C16" s="12" t="s">
        <v>83</v>
      </c>
    </row>
    <row r="17" spans="1:3">
      <c r="A17" s="12" t="s">
        <v>82</v>
      </c>
      <c r="B17" s="12" t="s">
        <v>159</v>
      </c>
      <c r="C17" s="12" t="s">
        <v>83</v>
      </c>
    </row>
    <row r="18" spans="1:3">
      <c r="A18" s="12" t="s">
        <v>90</v>
      </c>
      <c r="B18" s="12" t="s">
        <v>177</v>
      </c>
      <c r="C18" s="12" t="s">
        <v>91</v>
      </c>
    </row>
    <row r="19" spans="1:3">
      <c r="A19" s="12" t="s">
        <v>98</v>
      </c>
      <c r="B19" s="12" t="s">
        <v>155</v>
      </c>
      <c r="C19" s="12" t="s">
        <v>99</v>
      </c>
    </row>
    <row r="20" spans="1:3">
      <c r="A20" s="12" t="s">
        <v>98</v>
      </c>
      <c r="B20" s="12" t="s">
        <v>159</v>
      </c>
      <c r="C20" s="12" t="s">
        <v>99</v>
      </c>
    </row>
    <row r="21" spans="1:3">
      <c r="A21" s="12" t="s">
        <v>98</v>
      </c>
      <c r="B21" s="12" t="s">
        <v>163</v>
      </c>
      <c r="C21" s="12" t="s">
        <v>99</v>
      </c>
    </row>
    <row r="22" spans="1:3">
      <c r="A22" s="12" t="s">
        <v>98</v>
      </c>
      <c r="B22" s="12" t="s">
        <v>166</v>
      </c>
      <c r="C22" s="12" t="s">
        <v>99</v>
      </c>
    </row>
    <row r="23" spans="1:3">
      <c r="A23" s="12" t="s">
        <v>98</v>
      </c>
      <c r="B23" s="12" t="s">
        <v>170</v>
      </c>
      <c r="C23" s="12" t="s">
        <v>99</v>
      </c>
    </row>
    <row r="24" spans="1:3">
      <c r="A24" s="12" t="s">
        <v>98</v>
      </c>
      <c r="B24" s="12" t="s">
        <v>177</v>
      </c>
      <c r="C24" s="12" t="s">
        <v>99</v>
      </c>
    </row>
    <row r="25" spans="1:3">
      <c r="A25" s="12" t="s">
        <v>106</v>
      </c>
      <c r="B25" s="12" t="s">
        <v>155</v>
      </c>
      <c r="C25" s="12" t="s">
        <v>107</v>
      </c>
    </row>
    <row r="26" spans="1:3">
      <c r="A26" s="12" t="s">
        <v>106</v>
      </c>
      <c r="B26" s="12" t="s">
        <v>159</v>
      </c>
      <c r="C26" s="12" t="s">
        <v>107</v>
      </c>
    </row>
    <row r="27" spans="1:3">
      <c r="A27" s="12" t="s">
        <v>106</v>
      </c>
      <c r="B27" s="12" t="s">
        <v>163</v>
      </c>
      <c r="C27" s="12" t="s">
        <v>107</v>
      </c>
    </row>
    <row r="28" spans="1:3">
      <c r="A28" s="12" t="s">
        <v>106</v>
      </c>
      <c r="B28" s="12" t="s">
        <v>166</v>
      </c>
      <c r="C28" s="12" t="s">
        <v>107</v>
      </c>
    </row>
    <row r="29" spans="1:3">
      <c r="A29" s="12" t="s">
        <v>106</v>
      </c>
      <c r="B29" s="12" t="s">
        <v>177</v>
      </c>
      <c r="C29" s="12" t="s">
        <v>107</v>
      </c>
    </row>
    <row r="30" spans="1:3">
      <c r="A30" s="12" t="s">
        <v>114</v>
      </c>
      <c r="B30" s="12" t="s">
        <v>155</v>
      </c>
      <c r="C30" s="12" t="s">
        <v>115</v>
      </c>
    </row>
    <row r="31" spans="1:3">
      <c r="A31" s="12" t="s">
        <v>114</v>
      </c>
      <c r="B31" s="12" t="s">
        <v>159</v>
      </c>
      <c r="C31" s="12" t="s">
        <v>115</v>
      </c>
    </row>
    <row r="32" spans="1:3">
      <c r="A32" s="12" t="s">
        <v>114</v>
      </c>
      <c r="B32" s="12" t="s">
        <v>163</v>
      </c>
      <c r="C32" s="12" t="s">
        <v>115</v>
      </c>
    </row>
    <row r="33" spans="1:3">
      <c r="A33" s="12" t="s">
        <v>114</v>
      </c>
      <c r="B33" s="12" t="s">
        <v>166</v>
      </c>
      <c r="C33" s="12" t="s">
        <v>115</v>
      </c>
    </row>
    <row r="34" spans="1:3">
      <c r="A34" s="12" t="s">
        <v>114</v>
      </c>
      <c r="B34" s="12" t="s">
        <v>173</v>
      </c>
      <c r="C34" s="12" t="s">
        <v>115</v>
      </c>
    </row>
    <row r="35" spans="1:3">
      <c r="A35" s="12" t="s">
        <v>114</v>
      </c>
      <c r="B35" s="12" t="s">
        <v>177</v>
      </c>
      <c r="C35" s="12" t="s">
        <v>115</v>
      </c>
    </row>
    <row r="36" spans="1:3">
      <c r="A36" s="12" t="s">
        <v>122</v>
      </c>
      <c r="B36" s="12" t="s">
        <v>155</v>
      </c>
      <c r="C36" s="12" t="s">
        <v>123</v>
      </c>
    </row>
    <row r="37" spans="1:3">
      <c r="A37" s="12" t="s">
        <v>122</v>
      </c>
      <c r="B37" s="12" t="s">
        <v>159</v>
      </c>
      <c r="C37" s="12" t="s">
        <v>123</v>
      </c>
    </row>
    <row r="38" spans="1:3">
      <c r="A38" s="12" t="s">
        <v>122</v>
      </c>
      <c r="B38" s="12" t="s">
        <v>163</v>
      </c>
      <c r="C38" s="12" t="s">
        <v>123</v>
      </c>
    </row>
    <row r="39" spans="1:3">
      <c r="A39" s="12" t="s">
        <v>122</v>
      </c>
      <c r="B39" s="12" t="s">
        <v>166</v>
      </c>
      <c r="C39" s="12" t="s">
        <v>123</v>
      </c>
    </row>
    <row r="40" spans="1:3">
      <c r="A40" s="12" t="s">
        <v>122</v>
      </c>
      <c r="B40" s="12" t="s">
        <v>170</v>
      </c>
      <c r="C40" s="12" t="s">
        <v>123</v>
      </c>
    </row>
    <row r="41" spans="1:3">
      <c r="A41" s="12" t="s">
        <v>122</v>
      </c>
      <c r="B41" s="12" t="s">
        <v>173</v>
      </c>
      <c r="C41" s="12" t="s">
        <v>123</v>
      </c>
    </row>
    <row r="42" spans="1:3">
      <c r="A42" s="12" t="s">
        <v>122</v>
      </c>
      <c r="B42" s="12" t="s">
        <v>177</v>
      </c>
      <c r="C42" s="12" t="s">
        <v>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2026-06-17T19:14:47Z</dcterms:created>
  <dcterms:modified xsi:type="dcterms:W3CDTF">2026-06-17T19:14:47Z</dcterms:modified>
  <cp:category/>
  <cp:contentStatus/>
</cp:coreProperties>
</file>