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D:\working\waccache\TO1PEPF00001DD9\EXCELCNV\c6e5d8a4-1164-4268-9f56-6e6843770bcd\"/>
    </mc:Choice>
  </mc:AlternateContent>
  <xr:revisionPtr revIDLastSave="3" documentId="8_{22BA0072-6176-4CF4-A289-898C97423434}" xr6:coauthVersionLast="47" xr6:coauthVersionMax="47" xr10:uidLastSave="{E80BEC7D-8D7B-4254-9383-17F12BB0764F}"/>
  <bookViews>
    <workbookView xWindow="-60" yWindow="-60" windowWidth="15480" windowHeight="11640" xr2:uid="{00000000-000D-0000-FFFF-FFFF00000000}"/>
  </bookViews>
  <sheets>
    <sheet name="Inventory" sheetId="1" r:id="rId1"/>
    <sheet name="Reference_Lists" sheetId="2" r:id="rId2"/>
    <sheet name="Summary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B14" i="3"/>
  <c r="E13" i="3"/>
  <c r="B13" i="3"/>
  <c r="E12" i="3"/>
  <c r="B12" i="3"/>
</calcChain>
</file>

<file path=xl/sharedStrings.xml><?xml version="1.0" encoding="utf-8"?>
<sst xmlns="http://schemas.openxmlformats.org/spreadsheetml/2006/main" count="287" uniqueCount="233">
  <si>
    <t>Personal Information Inventory</t>
  </si>
  <si>
    <t>Privacy Impact &amp; Data Handling Risk Assessment: Customer-Facing Reservation Platform</t>
  </si>
  <si>
    <t>Data Element ID</t>
  </si>
  <si>
    <t>Data Element</t>
  </si>
  <si>
    <t>Example / Description</t>
  </si>
  <si>
    <t>Category</t>
  </si>
  <si>
    <t>Sensitivity Level</t>
  </si>
  <si>
    <t>Source / Collection Point</t>
  </si>
  <si>
    <t>Purpose of Collection</t>
  </si>
  <si>
    <t>Use</t>
  </si>
  <si>
    <t>Storage Location</t>
  </si>
  <si>
    <t>Access Role</t>
  </si>
  <si>
    <t>Third-Party Sharing</t>
  </si>
  <si>
    <t>Retention Consideration</t>
  </si>
  <si>
    <t>Deletion Trigger</t>
  </si>
  <si>
    <t>Consent Consideration</t>
  </si>
  <si>
    <t>Relevant PIPEDA Principle</t>
  </si>
  <si>
    <t>Risk Notes</t>
  </si>
  <si>
    <t>Evidence Reference</t>
  </si>
  <si>
    <t>PI-001</t>
  </si>
  <si>
    <t>Name</t>
  </si>
  <si>
    <t>Customer first and last name submitted during reservation or contact workflow.</t>
  </si>
  <si>
    <t>Direct Identifier</t>
  </si>
  <si>
    <t>Medium</t>
  </si>
  <si>
    <t>Reservation form; Contact form</t>
  </si>
  <si>
    <t>Identify the customer and associate the customer with a reservation or inquiry.</t>
  </si>
  <si>
    <t>Reservation management; customer service follow-up; operational communication.</t>
  </si>
  <si>
    <t>Application database; admin interface; email records if included in notifications.</t>
  </si>
  <si>
    <t>Business Owner; Admin/Internal User; Customer Service/Operations; Application Owner as needed.</t>
  </si>
  <si>
    <t>May be shared with email service if included in customer communication; not expected to be shared with payment processor unless passed through checkout metadata.</t>
  </si>
  <si>
    <t>Retain only as long as needed for booking administration, customer communication, dispute handling, or business record requirements.</t>
  </si>
  <si>
    <t>Delete or anonymize after operational need ends and retention period expires.</t>
  </si>
  <si>
    <t>Consent is implied through customer submission for booking or inquiry purpose; purpose should be clear at collection point.</t>
  </si>
  <si>
    <t>Accountability; Identifying Purposes; Consent; Limiting Collection; Limiting Use, Disclosure, and Retention; Safeguards; Openness</t>
  </si>
  <si>
    <t>Plaintext storage of names may increase identifiability if combined with address, reservation details, payment references, or contact content.</t>
  </si>
  <si>
    <t>EV-001; EV-002; EV-004</t>
  </si>
  <si>
    <t>PI-002</t>
  </si>
  <si>
    <t>Email address</t>
  </si>
  <si>
    <t>Customer email address used for booking confirmation, contact response, or payment-related communication.</t>
  </si>
  <si>
    <t>Direct Identifier; Contact Information</t>
  </si>
  <si>
    <t>Reservation form; Contact form; Checkout/payment-related workflow</t>
  </si>
  <si>
    <t>Communicate with the customer about reservations, inquiries, confirmations, and operational follow-up.</t>
  </si>
  <si>
    <t>Booking confirmation; inquiry response; customer support; payment status communication if applicable.</t>
  </si>
  <si>
    <t>Application database; email service; admin interface; payment processor if used during checkout.</t>
  </si>
  <si>
    <t>May be processed by email service and payment processor depending on workflow.</t>
  </si>
  <si>
    <t>Retain only as long as needed for reservation administration, customer communication, payment reconciliation, and business record requirements.</t>
  </si>
  <si>
    <t>Delete or suppress from active systems after retention period expires; remove from email records where operationally feasible.</t>
  </si>
  <si>
    <t>Consent is implied through submission for booking, inquiry, or payment communication. Separate consent would be needed for unrelated marketing use.</t>
  </si>
  <si>
    <t>Accountability; Identifying Purposes; Consent; Limiting Collection; Limiting Use, Disclosure, and Retention; Safeguards; Openness; Individual Access</t>
  </si>
  <si>
    <t>Email address is a direct identifier and may be present in multiple systems. Inconsistent protection or excessive access can increase privacy risk.</t>
  </si>
  <si>
    <t>EV-001; EV-002; EV-003; EV-004</t>
  </si>
  <si>
    <t>PI-003</t>
  </si>
  <si>
    <t>Phone number</t>
  </si>
  <si>
    <t>Customer phone number optionally provided for booking or contact follow-up.</t>
  </si>
  <si>
    <t>Contact the customer if needed for reservation changes, urgent updates, or inquiry follow-up.</t>
  </si>
  <si>
    <t>Operational communication; customer support; reservation clarification.</t>
  </si>
  <si>
    <t>Application database; admin interface; email records if manually included in communications.</t>
  </si>
  <si>
    <t>Business Owner; Admin/Internal User; Customer Service/Operations.</t>
  </si>
  <si>
    <t>Not expected to be shared with payment processor unless included in payment workflow metadata; may be included in internal communications.</t>
  </si>
  <si>
    <t>Retain only while needed for reservation administration or customer follow-up.</t>
  </si>
  <si>
    <t>Consent is implied if field is clearly presented as part of the reservation or inquiry process. Optional collection should be considered if not strictly required.</t>
  </si>
  <si>
    <t>Accountability; Identifying Purposes; Consent; Limiting Collection; Limiting Use, Disclosure, and Retention; Safeguards</t>
  </si>
  <si>
    <t>Phone number should not be mandatory unless needed for a defined business purpose. Excess collection may create limiting collection concern.</t>
  </si>
  <si>
    <t>PI-004</t>
  </si>
  <si>
    <t>Address</t>
  </si>
  <si>
    <t>Customer address, if collected for billing, contact, or operational reasons.</t>
  </si>
  <si>
    <t>Direct Identifier; Location Information</t>
  </si>
  <si>
    <t>High</t>
  </si>
  <si>
    <t>Reservation form; Checkout/payment-related workflow; manual customer communication if applicable.</t>
  </si>
  <si>
    <t>Support billing, fraud prevention, reservation administration, or customer record management where required.</t>
  </si>
  <si>
    <t>Billing support; payment-related verification if applicable; customer record context.</t>
  </si>
  <si>
    <t>Application database; payment processor environment if collected during checkout; admin interface.</t>
  </si>
  <si>
    <t>Business Owner; Admin/Internal User; Application Owner as needed.</t>
  </si>
  <si>
    <t>May be processed by payment processor if used for billing or payment verification.</t>
  </si>
  <si>
    <t>Retain only where a documented business or payment-related need exists.</t>
  </si>
  <si>
    <t>Delete, anonymize, or suppress when no longer required for operational or recordkeeping purpose.</t>
  </si>
  <si>
    <t>Consent depends on clear collection purpose. Address should not be collected unless necessary for a defined workflow.</t>
  </si>
  <si>
    <t>Address increases identifiability and sensitivity. If stored in plaintext while similar contact fields have stronger protection, this supports PF-001.</t>
  </si>
  <si>
    <t>EV-001; EV-002; EV-003</t>
  </si>
  <si>
    <t>PI-005</t>
  </si>
  <si>
    <t>Company name, if applicable</t>
  </si>
  <si>
    <t>Company or organization name provided by a customer or business contact.</t>
  </si>
  <si>
    <t>Business Contact Information; Potential Identifier</t>
  </si>
  <si>
    <t>Low</t>
  </si>
  <si>
    <t>Contact form; reservation form if business/group booking applies.</t>
  </si>
  <si>
    <t>Understand customer context for business inquiries, group bookings, or operational follow-up.</t>
  </si>
  <si>
    <t>Inquiry handling; group booking administration; customer support.</t>
  </si>
  <si>
    <t>Application database; admin interface; email records if included in correspondence.</t>
  </si>
  <si>
    <t>May be processed by email service if included in communications.</t>
  </si>
  <si>
    <t>Retain only as long as needed for inquiry or booking administration.</t>
  </si>
  <si>
    <t>Delete or anonymize when inquiry or booking record is no longer needed.</t>
  </si>
  <si>
    <t>Consent is implied if provided voluntarily for booking or inquiry context. Collection should remain optional unless required.</t>
  </si>
  <si>
    <t>Accountability; Identifying Purposes; Limiting Collection; Limiting Use, Disclosure, and Retention; Openness</t>
  </si>
  <si>
    <t>Company name can still identify an individual in small business contexts. Treat as privacy-relevant when linked to a named person or contact details.</t>
  </si>
  <si>
    <t>EV-001; EV-002</t>
  </si>
  <si>
    <t>PI-006</t>
  </si>
  <si>
    <t>Reservation details</t>
  </si>
  <si>
    <t>Booking date, time, class selected, number of participants, reservation status, and customer notes if applicable.</t>
  </si>
  <si>
    <t>Transaction / Activity Information</t>
  </si>
  <si>
    <t>Reservation workflow; admin/internal update workflow.</t>
  </si>
  <si>
    <t>Create, manage, modify, or confirm customer reservations.</t>
  </si>
  <si>
    <t>Booking administration; scheduling; operational planning; customer service follow-up.</t>
  </si>
  <si>
    <t>Application database; admin interface; email confirmation records.</t>
  </si>
  <si>
    <t>May be included in email confirmations. Not expected to be shared with payment processor except for limited metadata or reference linkage.</t>
  </si>
  <si>
    <t>Retain only for operational needs, dispute handling, analytics if anonymized, or business record requirements.</t>
  </si>
  <si>
    <t>Delete or anonymize after booking lifecycle and retention period expire.</t>
  </si>
  <si>
    <t>Consent is implied through reservation submission. Free-text notes should be limited or guided to avoid unnecessary personal information.</t>
  </si>
  <si>
    <t>Accountability; Identifying Purposes; Consent; Limiting Collection; Limiting Use, Disclosure, and Retention; Safeguards; Accuracy</t>
  </si>
  <si>
    <t>Reservation details are not just operational data when linked to a customer identifier. Free-text notes can contain unexpected personal information.</t>
  </si>
  <si>
    <t>EV-001; EV-002; EV-006</t>
  </si>
  <si>
    <t>PI-007</t>
  </si>
  <si>
    <t>Contact message content</t>
  </si>
  <si>
    <t>Free-text customer inquiry submitted through a contact form.</t>
  </si>
  <si>
    <t>Unstructured Personal Information</t>
  </si>
  <si>
    <t>Contact form</t>
  </si>
  <si>
    <t>Respond to customer inquiries and support operational communication.</t>
  </si>
  <si>
    <t>Customer service response; inquiry tracking; operational follow-up.</t>
  </si>
  <si>
    <t>Application database; email service; admin interface.</t>
  </si>
  <si>
    <t>May be processed by email service if messages are forwarded or stored in mailbox systems.</t>
  </si>
  <si>
    <t>Retain only as long as needed to respond to inquiry and maintain necessary business records.</t>
  </si>
  <si>
    <t>Delete or anonymize after inquiry resolution and retention period expires.</t>
  </si>
  <si>
    <t>Consent is implied through customer submission. Form instructions should discourage unnecessary sensitive information.</t>
  </si>
  <si>
    <t>Free-text fields can capture unexpected sensitive information. This increases retention, access control, and logging importance.</t>
  </si>
  <si>
    <t>PI-008</t>
  </si>
  <si>
    <t>Payment status</t>
  </si>
  <si>
    <t>Payment status such as paid, unpaid, pending, failed, refunded, or cancelled.</t>
  </si>
  <si>
    <t>Payment-Related Operational Information</t>
  </si>
  <si>
    <t>Checkout/payment-related workflow; payment processor webhook or admin update.</t>
  </si>
  <si>
    <t>Confirm booking/payment state and support operational reconciliation.</t>
  </si>
  <si>
    <t>Reservation confirmation; payment reconciliation; customer support; exception handling.</t>
  </si>
  <si>
    <t>Application database; admin interface; payment processor dashboard or records.</t>
  </si>
  <si>
    <t>Processed by payment processor and may be retained internally as a status reference.</t>
  </si>
  <si>
    <t>Retain only as needed for reconciliation, customer support, dispute handling, or business record requirements.</t>
  </si>
  <si>
    <t>Delete, anonymize, or detach from direct identifiers after retention need ends.</t>
  </si>
  <si>
    <t>Consent is linked to payment workflow. Internal retention should be limited to necessary payment-related references.</t>
  </si>
  <si>
    <t>Accountability; Identifying Purposes; Consent; Limiting Use, Disclosure, and Retention; Safeguards; Accuracy</t>
  </si>
  <si>
    <t>Payment status is privacy-relevant when linked to an identifiable customer or reservation. Internal retained data boundary should be documented.</t>
  </si>
  <si>
    <t>EV-003; EV-006</t>
  </si>
  <si>
    <t>PI-009</t>
  </si>
  <si>
    <t>Stripe transaction or payment reference</t>
  </si>
  <si>
    <t>Transaction ID, payment intent ID, charge ID, or comparable payment reference retained internally.</t>
  </si>
  <si>
    <t>Payment-Related Identifier; Third-Party Reference</t>
  </si>
  <si>
    <t>Checkout/payment-related workflow; Stripe or comparable payment processor.</t>
  </si>
  <si>
    <t>Link internal reservation records to externally processed payment activity without storing full payment card data.</t>
  </si>
  <si>
    <t>Payment reconciliation; customer support; refund or dispute handling; audit trail support.</t>
  </si>
  <si>
    <t>Application database; admin interface; payment processor environment.</t>
  </si>
  <si>
    <t>Processed by Stripe or comparable payment processor. Internal system may retain reference only.</t>
  </si>
  <si>
    <t>Retain only as long as needed for payment reconciliation, refunds, disputes, or business record requirements.</t>
  </si>
  <si>
    <t>Delete, archive, or detach from direct identifiers when payment-related retention need ends.</t>
  </si>
  <si>
    <t>Consent is linked to checkout/payment workflow. Customer should understand third-party payment processing occurs.</t>
  </si>
  <si>
    <t>Accountability; Identifying Purposes; Consent; Limiting Use, Disclosure, and Retention; Safeguards; Openness</t>
  </si>
  <si>
    <t>This supports PF-004. The key issue is not auditing Stripe, but documenting what is processed externally and what remains internally.</t>
  </si>
  <si>
    <t>PI-010</t>
  </si>
  <si>
    <t>Admin/internal user identifiers</t>
  </si>
  <si>
    <t>Internal username, admin ID, role label, or user account identifier associated with system access.</t>
  </si>
  <si>
    <t>Internal Identifier; Accountability Data</t>
  </si>
  <si>
    <t>Admin/internal access workflow; access management records.</t>
  </si>
  <si>
    <t>Support role assignment, access review, accountability, and investigation.</t>
  </si>
  <si>
    <t>Access governance; audit trail; issue investigation; remediation tracking.</t>
  </si>
  <si>
    <t>Admin interface; access management records; application logs if available.</t>
  </si>
  <si>
    <t>Business Owner; Application Owner; Security/IT Reviewer; authorized admin users.</t>
  </si>
  <si>
    <t>Not expected to be shared externally except with hosting, identity, logging, or support dependencies where applicable.</t>
  </si>
  <si>
    <t>Retain as needed for access governance, audit trail, and incident investigation.</t>
  </si>
  <si>
    <t>Disable, remove, or archive after user role ends, subject to audit trail needs.</t>
  </si>
  <si>
    <t>Consent is generally not the main basis for internal user identifiers. Transparency through internal policy or access notice is relevant.</t>
  </si>
  <si>
    <t>Accountability; Safeguards; Challenging Compliance</t>
  </si>
  <si>
    <t>Internal identifiers support accountability. Weak or missing records reduce ability to prove who accessed personal information.</t>
  </si>
  <si>
    <t>EV-004; EV-005</t>
  </si>
  <si>
    <t>PI-011</t>
  </si>
  <si>
    <t>System logs or access records</t>
  </si>
  <si>
    <t>Logs showing access, modification, export, deletion, errors, timestamps, user IDs, or related activity.</t>
  </si>
  <si>
    <t>System Metadata; Accountability Data</t>
  </si>
  <si>
    <t>Application/system logging; admin workflow; hosting/deployment environment.</t>
  </si>
  <si>
    <t>Support troubleshooting, access accountability, security monitoring, and incident investigation.</t>
  </si>
  <si>
    <t>Incident investigation; privacy complaint support; operational troubleshooting; audit evidence support.</t>
  </si>
  <si>
    <t>Application logs; hosting logs; admin logs; monitoring tools if configured.</t>
  </si>
  <si>
    <t>Application Owner; Security/IT Reviewer; authorized admin users.</t>
  </si>
  <si>
    <t>May be processed by hosting, logging, monitoring, or infrastructure providers depending on configuration.</t>
  </si>
  <si>
    <t>Retain only for a defined operational, security, audit, or incident investigation period.</t>
  </si>
  <si>
    <t>Delete or rotate logs according to documented retention schedule.</t>
  </si>
  <si>
    <t>Consent is not usually collected for operational logs, but transparency and limited use are relevant. Logging should be proportionate.</t>
  </si>
  <si>
    <t>Accountability; Safeguards; Limiting Use, Disclosure, and Retention; Challenging Compliance</t>
  </si>
  <si>
    <t>Limited logging creates PF-003. Excessive logging can also create privacy risk if unnecessary personal information is captured.</t>
  </si>
  <si>
    <t>EV-005; EV-006</t>
  </si>
  <si>
    <t>PI-012</t>
  </si>
  <si>
    <t>IP/device/session information</t>
  </si>
  <si>
    <t>IP address, session ID, device/browser metadata, or similar technical metadata if collected or logged.</t>
  </si>
  <si>
    <t>Technical Metadata; Online Identifier</t>
  </si>
  <si>
    <t>Web application; hosting environment; security logs; analytics or troubleshooting tools if used.</t>
  </si>
  <si>
    <t>Support session management, security monitoring, troubleshooting, fraud prevention, and incident investigation.</t>
  </si>
  <si>
    <t>Security monitoring; troubleshooting; incident triage; operational analytics if aggregated or limited.</t>
  </si>
  <si>
    <t>Application logs; hosting logs; monitoring tools; session management layer.</t>
  </si>
  <si>
    <t>May be processed by hosting, logging, monitoring, or security service providers depending on configuration.</t>
  </si>
  <si>
    <t>Retain only for defined operational or security period. Avoid indefinite retention.</t>
  </si>
  <si>
    <t>Delete, rotate, or aggregate after defined retention period.</t>
  </si>
  <si>
    <t>Consent and transparency depend on use. Strictly necessary security logging differs from analytics or profiling use.</t>
  </si>
  <si>
    <t>This is included only if relevant and clearly marked as assumed or system-generated. Do not overstate collection if not confirmed.</t>
  </si>
  <si>
    <t>Business Owner</t>
  </si>
  <si>
    <t>None expected</t>
  </si>
  <si>
    <t>EV-001</t>
  </si>
  <si>
    <t>Application Owner</t>
  </si>
  <si>
    <t>Email service</t>
  </si>
  <si>
    <t>EV-002</t>
  </si>
  <si>
    <t>Admin/Internal User</t>
  </si>
  <si>
    <t>Payment processor</t>
  </si>
  <si>
    <t>EV-003</t>
  </si>
  <si>
    <t>Customer Service/Operations</t>
  </si>
  <si>
    <t>Hosting/logging provider</t>
  </si>
  <si>
    <t>EV-004</t>
  </si>
  <si>
    <t>Security/IT Reviewer</t>
  </si>
  <si>
    <t>Multiple dependencies</t>
  </si>
  <si>
    <t>EV-005</t>
  </si>
  <si>
    <t>Vendor/Third-Party Owner</t>
  </si>
  <si>
    <t>To be confirmed</t>
  </si>
  <si>
    <t>EV-006</t>
  </si>
  <si>
    <t>Customer/Individual</t>
  </si>
  <si>
    <t>Personal Information Inventory Summary</t>
  </si>
  <si>
    <t>Purpose</t>
  </si>
  <si>
    <t>Document the personal information elements used in the reservation and payment-related application context.</t>
  </si>
  <si>
    <t>Scope</t>
  </si>
  <si>
    <t>Collection, purpose, use, storage, access, third-party sharing, retention, consent, PIPEDA principle, risk notes, and evidence reference.</t>
  </si>
  <si>
    <t>Record Count</t>
  </si>
  <si>
    <t>Primary Framework</t>
  </si>
  <si>
    <t>PIPEDA Fair Information Principles used as an assessment lens only.</t>
  </si>
  <si>
    <t>Sanitization</t>
  </si>
  <si>
    <t>No real customer data, credentials, secrets, or confidential production evidence included.</t>
  </si>
  <si>
    <t>Compliance Claim</t>
  </si>
  <si>
    <t>No compliance certification, official PIA, legal opinion, or regulatory audit claim.</t>
  </si>
  <si>
    <t>Count</t>
  </si>
  <si>
    <t>Third-Party Involvement</t>
  </si>
  <si>
    <t>Includes payment processor</t>
  </si>
  <si>
    <t>Includes email service</t>
  </si>
  <si>
    <t>Includes hosting/logging provider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</si>
</sst>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name val="Calibri"/>
      <scheme val="major"/>
    </font>
    <font>
      <b/>
      <sz val="11"/>
      <color rgb="FFFFFFFF"/>
      <name val="Calibri"/>
      <scheme val="major"/>
    </font>
    <font>
      <b/>
      <sz val="16"/>
      <color rgb="FFFFFFFF"/>
      <name val="Calibri"/>
      <scheme val="major"/>
    </font>
    <font>
      <b/>
      <sz val="11"/>
      <name val="Calibri"/>
      <scheme val="major"/>
    </font>
  </fonts>
  <fills count="5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vertical="top" wrapText="1"/>
    </xf>
    <xf numFmtId="0" fontId="5" fillId="4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wrapText="1"/>
    </xf>
    <xf numFmtId="0" fontId="6" fillId="2" borderId="1" xfId="0" applyNumberFormat="1" applyFont="1" applyFill="1" applyBorder="1" applyAlignment="1">
      <alignment horizontal="center"/>
    </xf>
    <xf numFmtId="0" fontId="4" fillId="0" borderId="0" xfId="0" applyFont="1"/>
    <xf numFmtId="0" fontId="7" fillId="3" borderId="1" xfId="0" applyNumberFormat="1" applyFont="1" applyFill="1" applyBorder="1" applyAlignment="1">
      <alignment wrapText="1"/>
    </xf>
  </cellXfs>
  <cellStyles count="1">
    <cellStyle name="Normal" xfId="0" builtinId="0"/>
  </cellStyles>
  <dxfs count="18"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  <dxf>
      <font>
        <name val="Calibri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alInformationInventory" displayName="PersonalInformationInventory" ref="A4:Q16" dataDxfId="17">
  <tableColumns count="17">
    <tableColumn id="1" xr3:uid="{00000000-0010-0000-0000-000001000000}" name="Data Element ID" dataDxfId="16"/>
    <tableColumn id="2" xr3:uid="{00000000-0010-0000-0000-000002000000}" name="Data Element" dataDxfId="15"/>
    <tableColumn id="3" xr3:uid="{00000000-0010-0000-0000-000003000000}" name="Example / Description" dataDxfId="14"/>
    <tableColumn id="4" xr3:uid="{00000000-0010-0000-0000-000004000000}" name="Category" dataDxfId="13"/>
    <tableColumn id="5" xr3:uid="{00000000-0010-0000-0000-000005000000}" name="Sensitivity Level" dataDxfId="12"/>
    <tableColumn id="6" xr3:uid="{00000000-0010-0000-0000-000006000000}" name="Source / Collection Point" dataDxfId="11"/>
    <tableColumn id="7" xr3:uid="{00000000-0010-0000-0000-000007000000}" name="Purpose of Collection" dataDxfId="10"/>
    <tableColumn id="8" xr3:uid="{00000000-0010-0000-0000-000008000000}" name="Use" dataDxfId="9"/>
    <tableColumn id="9" xr3:uid="{00000000-0010-0000-0000-000009000000}" name="Storage Location" dataDxfId="8"/>
    <tableColumn id="10" xr3:uid="{00000000-0010-0000-0000-00000A000000}" name="Access Role" dataDxfId="7"/>
    <tableColumn id="11" xr3:uid="{00000000-0010-0000-0000-00000B000000}" name="Third-Party Sharing" dataDxfId="6"/>
    <tableColumn id="12" xr3:uid="{00000000-0010-0000-0000-00000C000000}" name="Retention Consideration" dataDxfId="5"/>
    <tableColumn id="13" xr3:uid="{00000000-0010-0000-0000-00000D000000}" name="Deletion Trigger" dataDxfId="4"/>
    <tableColumn id="14" xr3:uid="{00000000-0010-0000-0000-00000E000000}" name="Consent Consideration" dataDxfId="3"/>
    <tableColumn id="15" xr3:uid="{00000000-0010-0000-0000-00000F000000}" name="Relevant PIPEDA Principle" dataDxfId="2"/>
    <tableColumn id="16" xr3:uid="{00000000-0010-0000-0000-000010000000}" name="Risk Notes" dataDxfId="1"/>
    <tableColumn id="17" xr3:uid="{00000000-0010-0000-0000-000011000000}" name="Evidence Refere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workbookViewId="0">
      <selection activeCell="C5" sqref="C5"/>
    </sheetView>
  </sheetViews>
  <sheetFormatPr defaultRowHeight="14.25"/>
  <cols>
    <col min="1" max="1" width="13" customWidth="1"/>
    <col min="2" max="2" width="24" customWidth="1"/>
    <col min="3" max="3" width="40" customWidth="1"/>
    <col min="4" max="4" width="26" customWidth="1"/>
    <col min="5" max="5" width="16" customWidth="1"/>
    <col min="6" max="6" width="32" customWidth="1"/>
    <col min="7" max="8" width="38" customWidth="1"/>
    <col min="9" max="9" width="34" customWidth="1"/>
    <col min="10" max="10" width="38" customWidth="1"/>
    <col min="11" max="11" width="40" customWidth="1"/>
    <col min="12" max="12" width="38" customWidth="1"/>
    <col min="13" max="13" width="34" customWidth="1"/>
    <col min="14" max="14" width="38" customWidth="1"/>
    <col min="15" max="16" width="42" customWidth="1"/>
    <col min="17" max="17" width="18" customWidth="1"/>
  </cols>
  <sheetData>
    <row r="1" spans="1:17" ht="27.95" customHeight="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ht="21.95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4" spans="1:17" ht="42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</row>
    <row r="5" spans="1:17" ht="99.95" customHeight="1">
      <c r="A5" s="5" t="s">
        <v>19</v>
      </c>
      <c r="B5" s="5" t="s">
        <v>20</v>
      </c>
      <c r="C5" s="5" t="s">
        <v>21</v>
      </c>
      <c r="D5" s="5" t="s">
        <v>22</v>
      </c>
      <c r="E5" s="5" t="s">
        <v>23</v>
      </c>
      <c r="F5" s="5" t="s">
        <v>24</v>
      </c>
      <c r="G5" s="5" t="s">
        <v>25</v>
      </c>
      <c r="H5" s="5" t="s">
        <v>26</v>
      </c>
      <c r="I5" s="5" t="s">
        <v>27</v>
      </c>
      <c r="J5" s="5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s">
        <v>33</v>
      </c>
      <c r="P5" s="5" t="s">
        <v>34</v>
      </c>
      <c r="Q5" s="5" t="s">
        <v>35</v>
      </c>
    </row>
    <row r="6" spans="1:17" ht="99.95" customHeight="1">
      <c r="A6" s="5" t="s">
        <v>36</v>
      </c>
      <c r="B6" s="5" t="s">
        <v>37</v>
      </c>
      <c r="C6" s="5" t="s">
        <v>38</v>
      </c>
      <c r="D6" s="5" t="s">
        <v>39</v>
      </c>
      <c r="E6" s="5" t="s">
        <v>23</v>
      </c>
      <c r="F6" s="5" t="s">
        <v>40</v>
      </c>
      <c r="G6" s="5" t="s">
        <v>41</v>
      </c>
      <c r="H6" s="5" t="s">
        <v>42</v>
      </c>
      <c r="I6" s="5" t="s">
        <v>43</v>
      </c>
      <c r="J6" s="5" t="s">
        <v>28</v>
      </c>
      <c r="K6" s="5" t="s">
        <v>44</v>
      </c>
      <c r="L6" s="5" t="s">
        <v>45</v>
      </c>
      <c r="M6" s="5" t="s">
        <v>46</v>
      </c>
      <c r="N6" s="5" t="s">
        <v>47</v>
      </c>
      <c r="O6" s="5" t="s">
        <v>48</v>
      </c>
      <c r="P6" s="5" t="s">
        <v>49</v>
      </c>
      <c r="Q6" s="5" t="s">
        <v>50</v>
      </c>
    </row>
    <row r="7" spans="1:17" ht="99.95" customHeight="1">
      <c r="A7" s="5" t="s">
        <v>51</v>
      </c>
      <c r="B7" s="5" t="s">
        <v>52</v>
      </c>
      <c r="C7" s="5" t="s">
        <v>53</v>
      </c>
      <c r="D7" s="5" t="s">
        <v>39</v>
      </c>
      <c r="E7" s="5" t="s">
        <v>23</v>
      </c>
      <c r="F7" s="5" t="s">
        <v>24</v>
      </c>
      <c r="G7" s="5" t="s">
        <v>54</v>
      </c>
      <c r="H7" s="5" t="s">
        <v>55</v>
      </c>
      <c r="I7" s="5" t="s">
        <v>56</v>
      </c>
      <c r="J7" s="5" t="s">
        <v>57</v>
      </c>
      <c r="K7" s="5" t="s">
        <v>58</v>
      </c>
      <c r="L7" s="5" t="s">
        <v>59</v>
      </c>
      <c r="M7" s="5" t="s">
        <v>31</v>
      </c>
      <c r="N7" s="5" t="s">
        <v>60</v>
      </c>
      <c r="O7" s="5" t="s">
        <v>61</v>
      </c>
      <c r="P7" s="5" t="s">
        <v>62</v>
      </c>
      <c r="Q7" s="5" t="s">
        <v>35</v>
      </c>
    </row>
    <row r="8" spans="1:17" ht="99.95" customHeight="1">
      <c r="A8" s="5" t="s">
        <v>63</v>
      </c>
      <c r="B8" s="5" t="s">
        <v>64</v>
      </c>
      <c r="C8" s="5" t="s">
        <v>65</v>
      </c>
      <c r="D8" s="5" t="s">
        <v>66</v>
      </c>
      <c r="E8" s="5" t="s">
        <v>67</v>
      </c>
      <c r="F8" s="5" t="s">
        <v>68</v>
      </c>
      <c r="G8" s="5" t="s">
        <v>69</v>
      </c>
      <c r="H8" s="5" t="s">
        <v>70</v>
      </c>
      <c r="I8" s="5" t="s">
        <v>71</v>
      </c>
      <c r="J8" s="5" t="s">
        <v>72</v>
      </c>
      <c r="K8" s="5" t="s">
        <v>73</v>
      </c>
      <c r="L8" s="5" t="s">
        <v>74</v>
      </c>
      <c r="M8" s="5" t="s">
        <v>75</v>
      </c>
      <c r="N8" s="5" t="s">
        <v>76</v>
      </c>
      <c r="O8" s="5" t="s">
        <v>61</v>
      </c>
      <c r="P8" s="5" t="s">
        <v>77</v>
      </c>
      <c r="Q8" s="5" t="s">
        <v>78</v>
      </c>
    </row>
    <row r="9" spans="1:17" ht="99.95" customHeight="1">
      <c r="A9" s="5" t="s">
        <v>79</v>
      </c>
      <c r="B9" s="5" t="s">
        <v>80</v>
      </c>
      <c r="C9" s="5" t="s">
        <v>81</v>
      </c>
      <c r="D9" s="5" t="s">
        <v>82</v>
      </c>
      <c r="E9" s="5" t="s">
        <v>83</v>
      </c>
      <c r="F9" s="5" t="s">
        <v>84</v>
      </c>
      <c r="G9" s="5" t="s">
        <v>85</v>
      </c>
      <c r="H9" s="5" t="s">
        <v>86</v>
      </c>
      <c r="I9" s="5" t="s">
        <v>87</v>
      </c>
      <c r="J9" s="5" t="s">
        <v>57</v>
      </c>
      <c r="K9" s="5" t="s">
        <v>88</v>
      </c>
      <c r="L9" s="5" t="s">
        <v>89</v>
      </c>
      <c r="M9" s="5" t="s">
        <v>90</v>
      </c>
      <c r="N9" s="5" t="s">
        <v>91</v>
      </c>
      <c r="O9" s="5" t="s">
        <v>92</v>
      </c>
      <c r="P9" s="5" t="s">
        <v>93</v>
      </c>
      <c r="Q9" s="5" t="s">
        <v>94</v>
      </c>
    </row>
    <row r="10" spans="1:17" ht="99.95" customHeight="1">
      <c r="A10" s="5" t="s">
        <v>95</v>
      </c>
      <c r="B10" s="5" t="s">
        <v>96</v>
      </c>
      <c r="C10" s="5" t="s">
        <v>97</v>
      </c>
      <c r="D10" s="5" t="s">
        <v>98</v>
      </c>
      <c r="E10" s="5" t="s">
        <v>23</v>
      </c>
      <c r="F10" s="5" t="s">
        <v>99</v>
      </c>
      <c r="G10" s="5" t="s">
        <v>100</v>
      </c>
      <c r="H10" s="5" t="s">
        <v>101</v>
      </c>
      <c r="I10" s="5" t="s">
        <v>102</v>
      </c>
      <c r="J10" s="5" t="s">
        <v>28</v>
      </c>
      <c r="K10" s="5" t="s">
        <v>103</v>
      </c>
      <c r="L10" s="5" t="s">
        <v>104</v>
      </c>
      <c r="M10" s="5" t="s">
        <v>105</v>
      </c>
      <c r="N10" s="5" t="s">
        <v>106</v>
      </c>
      <c r="O10" s="5" t="s">
        <v>107</v>
      </c>
      <c r="P10" s="5" t="s">
        <v>108</v>
      </c>
      <c r="Q10" s="5" t="s">
        <v>109</v>
      </c>
    </row>
    <row r="11" spans="1:17" ht="99.95" customHeight="1">
      <c r="A11" s="5" t="s">
        <v>110</v>
      </c>
      <c r="B11" s="5" t="s">
        <v>111</v>
      </c>
      <c r="C11" s="5" t="s">
        <v>112</v>
      </c>
      <c r="D11" s="5" t="s">
        <v>113</v>
      </c>
      <c r="E11" s="5" t="s">
        <v>23</v>
      </c>
      <c r="F11" s="5" t="s">
        <v>114</v>
      </c>
      <c r="G11" s="5" t="s">
        <v>115</v>
      </c>
      <c r="H11" s="5" t="s">
        <v>116</v>
      </c>
      <c r="I11" s="5" t="s">
        <v>117</v>
      </c>
      <c r="J11" s="5" t="s">
        <v>57</v>
      </c>
      <c r="K11" s="5" t="s">
        <v>118</v>
      </c>
      <c r="L11" s="5" t="s">
        <v>119</v>
      </c>
      <c r="M11" s="5" t="s">
        <v>120</v>
      </c>
      <c r="N11" s="5" t="s">
        <v>121</v>
      </c>
      <c r="O11" s="5" t="s">
        <v>33</v>
      </c>
      <c r="P11" s="5" t="s">
        <v>122</v>
      </c>
      <c r="Q11" s="5" t="s">
        <v>109</v>
      </c>
    </row>
    <row r="12" spans="1:17" ht="99.95" customHeight="1">
      <c r="A12" s="5" t="s">
        <v>123</v>
      </c>
      <c r="B12" s="5" t="s">
        <v>124</v>
      </c>
      <c r="C12" s="5" t="s">
        <v>125</v>
      </c>
      <c r="D12" s="5" t="s">
        <v>126</v>
      </c>
      <c r="E12" s="5" t="s">
        <v>23</v>
      </c>
      <c r="F12" s="5" t="s">
        <v>127</v>
      </c>
      <c r="G12" s="5" t="s">
        <v>128</v>
      </c>
      <c r="H12" s="5" t="s">
        <v>129</v>
      </c>
      <c r="I12" s="5" t="s">
        <v>130</v>
      </c>
      <c r="J12" s="5" t="s">
        <v>28</v>
      </c>
      <c r="K12" s="5" t="s">
        <v>131</v>
      </c>
      <c r="L12" s="5" t="s">
        <v>132</v>
      </c>
      <c r="M12" s="5" t="s">
        <v>133</v>
      </c>
      <c r="N12" s="5" t="s">
        <v>134</v>
      </c>
      <c r="O12" s="5" t="s">
        <v>135</v>
      </c>
      <c r="P12" s="5" t="s">
        <v>136</v>
      </c>
      <c r="Q12" s="5" t="s">
        <v>137</v>
      </c>
    </row>
    <row r="13" spans="1:17" ht="99.95" customHeight="1">
      <c r="A13" s="5" t="s">
        <v>138</v>
      </c>
      <c r="B13" s="5" t="s">
        <v>139</v>
      </c>
      <c r="C13" s="5" t="s">
        <v>140</v>
      </c>
      <c r="D13" s="5" t="s">
        <v>141</v>
      </c>
      <c r="E13" s="5" t="s">
        <v>23</v>
      </c>
      <c r="F13" s="5" t="s">
        <v>142</v>
      </c>
      <c r="G13" s="5" t="s">
        <v>143</v>
      </c>
      <c r="H13" s="5" t="s">
        <v>144</v>
      </c>
      <c r="I13" s="5" t="s">
        <v>145</v>
      </c>
      <c r="J13" s="5" t="s">
        <v>72</v>
      </c>
      <c r="K13" s="5" t="s">
        <v>146</v>
      </c>
      <c r="L13" s="5" t="s">
        <v>147</v>
      </c>
      <c r="M13" s="5" t="s">
        <v>148</v>
      </c>
      <c r="N13" s="5" t="s">
        <v>149</v>
      </c>
      <c r="O13" s="5" t="s">
        <v>150</v>
      </c>
      <c r="P13" s="5" t="s">
        <v>151</v>
      </c>
      <c r="Q13" s="5" t="s">
        <v>137</v>
      </c>
    </row>
    <row r="14" spans="1:17" ht="99.95" customHeight="1">
      <c r="A14" s="5" t="s">
        <v>152</v>
      </c>
      <c r="B14" s="5" t="s">
        <v>153</v>
      </c>
      <c r="C14" s="5" t="s">
        <v>154</v>
      </c>
      <c r="D14" s="5" t="s">
        <v>155</v>
      </c>
      <c r="E14" s="5" t="s">
        <v>83</v>
      </c>
      <c r="F14" s="5" t="s">
        <v>156</v>
      </c>
      <c r="G14" s="5" t="s">
        <v>157</v>
      </c>
      <c r="H14" s="5" t="s">
        <v>158</v>
      </c>
      <c r="I14" s="5" t="s">
        <v>159</v>
      </c>
      <c r="J14" s="5" t="s">
        <v>160</v>
      </c>
      <c r="K14" s="5" t="s">
        <v>161</v>
      </c>
      <c r="L14" s="5" t="s">
        <v>162</v>
      </c>
      <c r="M14" s="5" t="s">
        <v>163</v>
      </c>
      <c r="N14" s="5" t="s">
        <v>164</v>
      </c>
      <c r="O14" s="5" t="s">
        <v>165</v>
      </c>
      <c r="P14" s="5" t="s">
        <v>166</v>
      </c>
      <c r="Q14" s="5" t="s">
        <v>167</v>
      </c>
    </row>
    <row r="15" spans="1:17" ht="99.95" customHeight="1">
      <c r="A15" s="5" t="s">
        <v>168</v>
      </c>
      <c r="B15" s="5" t="s">
        <v>169</v>
      </c>
      <c r="C15" s="5" t="s">
        <v>170</v>
      </c>
      <c r="D15" s="5" t="s">
        <v>171</v>
      </c>
      <c r="E15" s="5" t="s">
        <v>23</v>
      </c>
      <c r="F15" s="5" t="s">
        <v>172</v>
      </c>
      <c r="G15" s="5" t="s">
        <v>173</v>
      </c>
      <c r="H15" s="5" t="s">
        <v>174</v>
      </c>
      <c r="I15" s="5" t="s">
        <v>175</v>
      </c>
      <c r="J15" s="5" t="s">
        <v>176</v>
      </c>
      <c r="K15" s="5" t="s">
        <v>177</v>
      </c>
      <c r="L15" s="5" t="s">
        <v>178</v>
      </c>
      <c r="M15" s="5" t="s">
        <v>179</v>
      </c>
      <c r="N15" s="5" t="s">
        <v>180</v>
      </c>
      <c r="O15" s="5" t="s">
        <v>181</v>
      </c>
      <c r="P15" s="5" t="s">
        <v>182</v>
      </c>
      <c r="Q15" s="5" t="s">
        <v>183</v>
      </c>
    </row>
    <row r="16" spans="1:17" ht="99.95" customHeight="1">
      <c r="A16" s="5" t="s">
        <v>184</v>
      </c>
      <c r="B16" s="5" t="s">
        <v>185</v>
      </c>
      <c r="C16" s="5" t="s">
        <v>186</v>
      </c>
      <c r="D16" s="5" t="s">
        <v>187</v>
      </c>
      <c r="E16" s="5" t="s">
        <v>23</v>
      </c>
      <c r="F16" s="5" t="s">
        <v>188</v>
      </c>
      <c r="G16" s="5" t="s">
        <v>189</v>
      </c>
      <c r="H16" s="5" t="s">
        <v>190</v>
      </c>
      <c r="I16" s="5" t="s">
        <v>191</v>
      </c>
      <c r="J16" s="5" t="s">
        <v>176</v>
      </c>
      <c r="K16" s="5" t="s">
        <v>192</v>
      </c>
      <c r="L16" s="5" t="s">
        <v>193</v>
      </c>
      <c r="M16" s="5" t="s">
        <v>194</v>
      </c>
      <c r="N16" s="5" t="s">
        <v>195</v>
      </c>
      <c r="O16" s="5" t="s">
        <v>33</v>
      </c>
      <c r="P16" s="5" t="s">
        <v>196</v>
      </c>
      <c r="Q16" s="5" t="s">
        <v>183</v>
      </c>
    </row>
  </sheetData>
  <mergeCells count="2">
    <mergeCell ref="A1:Q1"/>
    <mergeCell ref="A2:Q2"/>
  </mergeCells>
  <dataValidations count="1">
    <dataValidation type="list" sqref="E5:E16" xr:uid="{00000000-0002-0000-0000-000000000000}">
      <formula1>"Low,Medium,High"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workbookViewId="0">
      <selection sqref="A1:E12"/>
    </sheetView>
  </sheetViews>
  <sheetFormatPr defaultRowHeight="14.25"/>
  <cols>
    <col min="1" max="5" width="30" customWidth="1"/>
  </cols>
  <sheetData>
    <row r="1" spans="1:5" ht="15">
      <c r="A1" s="6" t="s">
        <v>6</v>
      </c>
      <c r="B1" s="6" t="s">
        <v>5</v>
      </c>
      <c r="C1" s="6" t="s">
        <v>11</v>
      </c>
      <c r="D1" s="6" t="s">
        <v>12</v>
      </c>
      <c r="E1" s="6" t="s">
        <v>18</v>
      </c>
    </row>
    <row r="2" spans="1:5" ht="15">
      <c r="A2" s="7" t="s">
        <v>83</v>
      </c>
      <c r="B2" s="7" t="s">
        <v>22</v>
      </c>
      <c r="C2" s="7" t="s">
        <v>197</v>
      </c>
      <c r="D2" s="7" t="s">
        <v>198</v>
      </c>
      <c r="E2" s="7" t="s">
        <v>199</v>
      </c>
    </row>
    <row r="3" spans="1:5" ht="15">
      <c r="A3" s="7" t="s">
        <v>23</v>
      </c>
      <c r="B3" s="7" t="s">
        <v>39</v>
      </c>
      <c r="C3" s="7" t="s">
        <v>200</v>
      </c>
      <c r="D3" s="7" t="s">
        <v>201</v>
      </c>
      <c r="E3" s="7" t="s">
        <v>202</v>
      </c>
    </row>
    <row r="4" spans="1:5" ht="15">
      <c r="A4" s="7" t="s">
        <v>67</v>
      </c>
      <c r="B4" s="7" t="s">
        <v>66</v>
      </c>
      <c r="C4" s="7" t="s">
        <v>203</v>
      </c>
      <c r="D4" s="7" t="s">
        <v>204</v>
      </c>
      <c r="E4" s="7" t="s">
        <v>205</v>
      </c>
    </row>
    <row r="5" spans="1:5" ht="30.75">
      <c r="A5" s="7"/>
      <c r="B5" s="7" t="s">
        <v>82</v>
      </c>
      <c r="C5" s="7" t="s">
        <v>206</v>
      </c>
      <c r="D5" s="7" t="s">
        <v>207</v>
      </c>
      <c r="E5" s="7" t="s">
        <v>208</v>
      </c>
    </row>
    <row r="6" spans="1:5" ht="15">
      <c r="A6" s="7"/>
      <c r="B6" s="7" t="s">
        <v>98</v>
      </c>
      <c r="C6" s="7" t="s">
        <v>209</v>
      </c>
      <c r="D6" s="7" t="s">
        <v>210</v>
      </c>
      <c r="E6" s="7" t="s">
        <v>211</v>
      </c>
    </row>
    <row r="7" spans="1:5" ht="15">
      <c r="A7" s="7"/>
      <c r="B7" s="7" t="s">
        <v>113</v>
      </c>
      <c r="C7" s="7" t="s">
        <v>212</v>
      </c>
      <c r="D7" s="7" t="s">
        <v>213</v>
      </c>
      <c r="E7" s="7" t="s">
        <v>214</v>
      </c>
    </row>
    <row r="8" spans="1:5" ht="30.75">
      <c r="A8" s="7"/>
      <c r="B8" s="7" t="s">
        <v>126</v>
      </c>
      <c r="C8" s="7" t="s">
        <v>215</v>
      </c>
      <c r="D8" s="7"/>
      <c r="E8" s="7" t="s">
        <v>94</v>
      </c>
    </row>
    <row r="9" spans="1:5" ht="30.75">
      <c r="A9" s="7"/>
      <c r="B9" s="7" t="s">
        <v>141</v>
      </c>
      <c r="C9" s="7"/>
      <c r="D9" s="7"/>
      <c r="E9" s="7" t="s">
        <v>137</v>
      </c>
    </row>
    <row r="10" spans="1:5" ht="15">
      <c r="A10" s="7"/>
      <c r="B10" s="7" t="s">
        <v>155</v>
      </c>
      <c r="C10" s="7"/>
      <c r="D10" s="7"/>
      <c r="E10" s="7" t="s">
        <v>167</v>
      </c>
    </row>
    <row r="11" spans="1:5" ht="15">
      <c r="A11" s="7"/>
      <c r="B11" s="7" t="s">
        <v>171</v>
      </c>
      <c r="C11" s="7"/>
      <c r="D11" s="7"/>
      <c r="E11" s="7" t="s">
        <v>183</v>
      </c>
    </row>
    <row r="12" spans="1:5" ht="15">
      <c r="A12" s="7"/>
      <c r="B12" s="7" t="s">
        <v>187</v>
      </c>
      <c r="C12" s="7"/>
      <c r="D12" s="7"/>
      <c r="E12" s="7"/>
    </row>
    <row r="13" spans="1:5">
      <c r="A13" s="1"/>
      <c r="B13" s="1"/>
      <c r="C13" s="1"/>
      <c r="D13" s="1"/>
      <c r="E13" s="1"/>
    </row>
    <row r="14" spans="1:5">
      <c r="A14" s="1"/>
      <c r="B14" s="1"/>
      <c r="C14" s="1"/>
      <c r="D14" s="1"/>
      <c r="E14" s="1"/>
    </row>
    <row r="15" spans="1:5">
      <c r="A15" s="1"/>
      <c r="B15" s="1"/>
      <c r="C15" s="1"/>
      <c r="D15" s="1"/>
      <c r="E15" s="1"/>
    </row>
    <row r="16" spans="1:5">
      <c r="A16" s="1"/>
      <c r="B16" s="1"/>
      <c r="C16" s="1"/>
      <c r="D16" s="1"/>
      <c r="E16" s="1"/>
    </row>
    <row r="17" spans="1:5">
      <c r="A17" s="1"/>
      <c r="B17" s="1"/>
      <c r="C17" s="1"/>
      <c r="D17" s="1"/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/>
      <c r="B20" s="1"/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/>
      <c r="B25" s="1"/>
      <c r="C25" s="1"/>
      <c r="D25" s="1"/>
      <c r="E25" s="1"/>
    </row>
    <row r="26" spans="1:5">
      <c r="A26" s="1"/>
      <c r="B26" s="1"/>
      <c r="C26" s="1"/>
      <c r="D26" s="1"/>
      <c r="E26" s="1"/>
    </row>
    <row r="27" spans="1:5">
      <c r="A27" s="1"/>
      <c r="B27" s="1"/>
      <c r="C27" s="1"/>
      <c r="D27" s="1"/>
      <c r="E27" s="1"/>
    </row>
    <row r="28" spans="1:5">
      <c r="A28" s="1"/>
      <c r="B28" s="1"/>
      <c r="C28" s="1"/>
      <c r="D28" s="1"/>
      <c r="E28" s="1"/>
    </row>
    <row r="29" spans="1:5">
      <c r="A29" s="1"/>
      <c r="B29" s="1"/>
      <c r="C29" s="1"/>
      <c r="D29" s="1"/>
      <c r="E29" s="1"/>
    </row>
    <row r="30" spans="1:5">
      <c r="A30" s="1"/>
      <c r="B30" s="1"/>
      <c r="C30" s="1"/>
      <c r="D30" s="1"/>
      <c r="E30" s="1"/>
    </row>
    <row r="31" spans="1:5">
      <c r="A31" s="1"/>
      <c r="B31" s="1"/>
      <c r="C31" s="1"/>
      <c r="D31" s="1"/>
      <c r="E31" s="1"/>
    </row>
    <row r="32" spans="1:5">
      <c r="A32" s="1"/>
      <c r="B32" s="1"/>
      <c r="C32" s="1"/>
      <c r="D32" s="1"/>
      <c r="E32" s="1"/>
    </row>
    <row r="33" spans="1:5">
      <c r="A33" s="1"/>
      <c r="B33" s="1"/>
      <c r="C33" s="1"/>
      <c r="D33" s="1"/>
      <c r="E33" s="1"/>
    </row>
    <row r="34" spans="1:5">
      <c r="A34" s="1"/>
      <c r="B34" s="1"/>
      <c r="C34" s="1"/>
      <c r="D34" s="1"/>
      <c r="E34" s="1"/>
    </row>
    <row r="35" spans="1:5">
      <c r="A35" s="1"/>
      <c r="B35" s="1"/>
      <c r="C35" s="1"/>
      <c r="D35" s="1"/>
      <c r="E35" s="1"/>
    </row>
    <row r="36" spans="1:5">
      <c r="A36" s="1"/>
      <c r="B36" s="1"/>
      <c r="C36" s="1"/>
      <c r="D36" s="1"/>
      <c r="E36" s="1"/>
    </row>
    <row r="37" spans="1:5">
      <c r="A37" s="1"/>
      <c r="B37" s="1"/>
      <c r="C37" s="1"/>
      <c r="D37" s="1"/>
      <c r="E37" s="1"/>
    </row>
    <row r="38" spans="1:5">
      <c r="A38" s="1"/>
      <c r="B38" s="1"/>
      <c r="C38" s="1"/>
      <c r="D38" s="1"/>
      <c r="E38" s="1"/>
    </row>
    <row r="39" spans="1:5">
      <c r="A39" s="1"/>
      <c r="B39" s="1"/>
      <c r="C39" s="1"/>
      <c r="D39" s="1"/>
      <c r="E39" s="1"/>
    </row>
    <row r="40" spans="1:5">
      <c r="A40" s="1"/>
      <c r="B40" s="1"/>
      <c r="C40" s="1"/>
      <c r="D40" s="1"/>
      <c r="E40" s="1"/>
    </row>
    <row r="41" spans="1:5">
      <c r="A41" s="1"/>
      <c r="B41" s="1"/>
      <c r="C41" s="1"/>
      <c r="D41" s="1"/>
      <c r="E41" s="1"/>
    </row>
    <row r="42" spans="1:5">
      <c r="A42" s="1"/>
      <c r="B42" s="1"/>
      <c r="C42" s="1"/>
      <c r="D42" s="1"/>
      <c r="E42" s="1"/>
    </row>
    <row r="43" spans="1:5">
      <c r="A43" s="1"/>
      <c r="B43" s="1"/>
      <c r="C43" s="1"/>
      <c r="D43" s="1"/>
      <c r="E43" s="1"/>
    </row>
    <row r="44" spans="1:5">
      <c r="A44" s="1"/>
      <c r="B44" s="1"/>
      <c r="C44" s="1"/>
      <c r="D44" s="1"/>
      <c r="E44" s="1"/>
    </row>
    <row r="45" spans="1:5">
      <c r="A45" s="1"/>
      <c r="B45" s="1"/>
      <c r="C45" s="1"/>
      <c r="D45" s="1"/>
      <c r="E45" s="1"/>
    </row>
    <row r="46" spans="1:5">
      <c r="A46" s="1"/>
      <c r="B46" s="1"/>
      <c r="C46" s="1"/>
      <c r="D46" s="1"/>
      <c r="E46" s="1"/>
    </row>
    <row r="47" spans="1:5">
      <c r="A47" s="1"/>
      <c r="B47" s="1"/>
      <c r="C47" s="1"/>
      <c r="D47" s="1"/>
      <c r="E47" s="1"/>
    </row>
    <row r="48" spans="1:5">
      <c r="A48" s="1"/>
      <c r="B48" s="1"/>
      <c r="C48" s="1"/>
      <c r="D48" s="1"/>
      <c r="E48" s="1"/>
    </row>
    <row r="49" spans="1:5">
      <c r="A49" s="1"/>
      <c r="B49" s="1"/>
      <c r="C49" s="1"/>
      <c r="D49" s="1"/>
      <c r="E49" s="1"/>
    </row>
    <row r="50" spans="1:5">
      <c r="A50" s="1"/>
      <c r="B50" s="1"/>
      <c r="C50" s="1"/>
      <c r="D50" s="1"/>
      <c r="E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>
      <selection sqref="A1:XFD1048576"/>
    </sheetView>
  </sheetViews>
  <sheetFormatPr defaultRowHeight="15"/>
  <cols>
    <col min="1" max="1" width="24" style="9" customWidth="1"/>
    <col min="2" max="2" width="80" style="9" customWidth="1"/>
    <col min="3" max="16384" width="9" style="9"/>
  </cols>
  <sheetData>
    <row r="1" spans="1:8" ht="21">
      <c r="A1" s="8" t="s">
        <v>216</v>
      </c>
      <c r="B1" s="8"/>
      <c r="C1" s="8"/>
      <c r="D1" s="8"/>
      <c r="E1" s="8"/>
      <c r="F1" s="8"/>
      <c r="G1" s="8"/>
      <c r="H1" s="8"/>
    </row>
    <row r="3" spans="1:8" ht="30.75">
      <c r="A3" s="10" t="s">
        <v>217</v>
      </c>
      <c r="B3" s="7" t="s">
        <v>218</v>
      </c>
    </row>
    <row r="4" spans="1:8" ht="30.75">
      <c r="A4" s="10" t="s">
        <v>219</v>
      </c>
      <c r="B4" s="7" t="s">
        <v>220</v>
      </c>
    </row>
    <row r="5" spans="1:8">
      <c r="A5" s="10" t="s">
        <v>221</v>
      </c>
      <c r="B5" s="7">
        <v>12</v>
      </c>
    </row>
    <row r="6" spans="1:8">
      <c r="A6" s="10" t="s">
        <v>222</v>
      </c>
      <c r="B6" s="7" t="s">
        <v>223</v>
      </c>
    </row>
    <row r="7" spans="1:8">
      <c r="A7" s="10" t="s">
        <v>224</v>
      </c>
      <c r="B7" s="7" t="s">
        <v>225</v>
      </c>
    </row>
    <row r="8" spans="1:8">
      <c r="A8" s="10" t="s">
        <v>226</v>
      </c>
      <c r="B8" s="7" t="s">
        <v>227</v>
      </c>
    </row>
    <row r="11" spans="1:8" ht="60.75">
      <c r="A11" s="6" t="s">
        <v>6</v>
      </c>
      <c r="B11" s="6" t="s">
        <v>228</v>
      </c>
      <c r="C11" s="7"/>
      <c r="D11" s="6" t="s">
        <v>229</v>
      </c>
      <c r="E11" s="6" t="s">
        <v>228</v>
      </c>
    </row>
    <row r="12" spans="1:8" ht="45.75">
      <c r="A12" s="7" t="s">
        <v>83</v>
      </c>
      <c r="B12" s="7">
        <f>COUNTIF(Inventory!$E$5:$E$16,A12)</f>
        <v>2</v>
      </c>
      <c r="C12" s="7"/>
      <c r="D12" s="7" t="s">
        <v>230</v>
      </c>
      <c r="E12" s="7">
        <f>COUNTIF(Inventory!$K$5:$K$16,"*payment processor*")</f>
        <v>7</v>
      </c>
    </row>
    <row r="13" spans="1:8" ht="45.75">
      <c r="A13" s="7" t="s">
        <v>23</v>
      </c>
      <c r="B13" s="7">
        <f>COUNTIF(Inventory!$E$5:$E$16,A13)</f>
        <v>9</v>
      </c>
      <c r="C13" s="7"/>
      <c r="D13" s="7" t="s">
        <v>231</v>
      </c>
      <c r="E13" s="7">
        <f>COUNTIF(Inventory!$K$5:$K$16,"*email service*")</f>
        <v>4</v>
      </c>
    </row>
    <row r="14" spans="1:8" ht="60.75">
      <c r="A14" s="7" t="s">
        <v>67</v>
      </c>
      <c r="B14" s="7">
        <f>COUNTIF(Inventory!$E$5:$E$16,A14)</f>
        <v>1</v>
      </c>
      <c r="C14" s="7"/>
      <c r="D14" s="7" t="s">
        <v>232</v>
      </c>
      <c r="E14" s="7">
        <f>COUNTIF(Inventory!$K$5:$K$16,"*hosting*")+COUNTIF(Inventory!$K$5:$K$16,"*logging*")</f>
        <v>6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Ali Rıza Sevgili</cp:lastModifiedBy>
  <cp:revision/>
  <dcterms:created xsi:type="dcterms:W3CDTF">2026-06-16T21:26:13Z</dcterms:created>
  <dcterms:modified xsi:type="dcterms:W3CDTF">2026-06-16T21:38:28Z</dcterms:modified>
  <cp:category/>
  <cp:contentStatus/>
</cp:coreProperties>
</file>