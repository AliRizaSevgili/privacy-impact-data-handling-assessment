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5" documentId="11_DC1114464A36DDCC04FDA019B926054156F2C523" xr6:coauthVersionLast="47" xr6:coauthVersionMax="47" xr10:uidLastSave="{0CA00939-BB98-4C8B-AFA6-F97081FE09F2}"/>
  <bookViews>
    <workbookView xWindow="0" yWindow="0" windowWidth="0" windowHeight="0" activeTab="1" xr2:uid="{00000000-000D-0000-FFFF-FFFF00000000}"/>
  </bookViews>
  <sheets>
    <sheet name="Summary" sheetId="1" r:id="rId1"/>
    <sheet name="Inventory" sheetId="2" r:id="rId2"/>
    <sheet name="Reference_Lists" sheetId="3" r:id="rId3"/>
    <sheet name="Evidence_Map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<sst xmlns="http://schemas.openxmlformats.org/spreadsheetml/2006/main" count="556" uniqueCount="443">
  <si>
    <t>Privacy Impact &amp; Data Handling Risk Assessment: Customer-Facing Reservation Platform</t>
  </si>
  <si>
    <t>Personal Information Inventory Summary</t>
  </si>
  <si>
    <t>Purpose</t>
  </si>
  <si>
    <t>Document personal information elements, workflows, collection purposes, use, storage, access roles, third-party sharing, safeguards, retention/deletion considerations, PIPEDA principle mapping, related findings, and evidence references.</t>
  </si>
  <si>
    <t>Scope Note</t>
  </si>
  <si>
    <t>This workbook is based on sanitized ITGC project evidence and is not a compliance certification, official PIA, or formal legal opinion.</t>
  </si>
  <si>
    <t>Generated Date</t>
  </si>
  <si>
    <t>2026-06-17</t>
  </si>
  <si>
    <t>Metric</t>
  </si>
  <si>
    <t>Value</t>
  </si>
  <si>
    <t>Basis</t>
  </si>
  <si>
    <t>Notes</t>
  </si>
  <si>
    <t>Total Inventory Records</t>
  </si>
  <si>
    <t>Count of populated Data Element IDs</t>
  </si>
  <si>
    <t>Expected: 16</t>
  </si>
  <si>
    <t>High Sensitivity Records</t>
  </si>
  <si>
    <t>Sensitivity Level equals High</t>
  </si>
  <si>
    <t>Address is marked High</t>
  </si>
  <si>
    <t>Variable Sensitivity Records</t>
  </si>
  <si>
    <t>Sensitivity Level equals Variable</t>
  </si>
  <si>
    <t>Free-text contact message content</t>
  </si>
  <si>
    <t>Records Linked to Stripe</t>
  </si>
  <si>
    <t>Third-Party Sharing mentions Stripe</t>
  </si>
  <si>
    <t>Payment-related boundary</t>
  </si>
  <si>
    <t>Records With PF-005 Retention Relevance</t>
  </si>
  <si>
    <t>Related Finding ID includes PF-005</t>
  </si>
  <si>
    <t>Retention and deletion</t>
  </si>
  <si>
    <t>Records With PF-002 Access Relevance</t>
  </si>
  <si>
    <t>Related Finding ID includes PF-002</t>
  </si>
  <si>
    <t>RBAC/access limitation</t>
  </si>
  <si>
    <t>Records With PF-003 Logging Relevance</t>
  </si>
  <si>
    <t>Related Finding ID includes PF-003</t>
  </si>
  <si>
    <t>Limited logging</t>
  </si>
  <si>
    <t>Main Data Sources Used</t>
  </si>
  <si>
    <t>ITGC Project Charter, Data Flow, Access Control Analysis, Testing Workpapers, Walkthrough Documentation, Executive Summary, and sanitized evidence screenshots.</t>
  </si>
  <si>
    <t>Control Boundary</t>
  </si>
  <si>
    <t>Payment card data is processed externally through Stripe hosted checkout. This workbook does not claim that Stripe was audited or that the application is compliant with any privacy law.</t>
  </si>
  <si>
    <t>Data Element ID</t>
  </si>
  <si>
    <t>Data Element</t>
  </si>
  <si>
    <t>Workflow</t>
  </si>
  <si>
    <t>Example / Description</t>
  </si>
  <si>
    <t>Category</t>
  </si>
  <si>
    <t>Sensitivity Level</t>
  </si>
  <si>
    <t>Source / Collection Point</t>
  </si>
  <si>
    <t>Purpose of Collection</t>
  </si>
  <si>
    <t>Use</t>
  </si>
  <si>
    <t>Storage Location</t>
  </si>
  <si>
    <t>Access Role</t>
  </si>
  <si>
    <t>Third-Party Sharing</t>
  </si>
  <si>
    <t>Safeguards / Controls Considered</t>
  </si>
  <si>
    <t>Retention Consideration</t>
  </si>
  <si>
    <t>Deletion Trigger</t>
  </si>
  <si>
    <t>Consent Consideration</t>
  </si>
  <si>
    <t>Relevant PIPEDA Principle</t>
  </si>
  <si>
    <t>Related Finding ID</t>
  </si>
  <si>
    <t>Risk Notes</t>
  </si>
  <si>
    <t>Evidence Reference</t>
  </si>
  <si>
    <t>PI-001</t>
  </si>
  <si>
    <t>First name</t>
  </si>
  <si>
    <t>Checkout / Reservation Workflow; Contact Form Workflow</t>
  </si>
  <si>
    <t>Customer first name submitted through checkout or contact form.</t>
  </si>
  <si>
    <t>Direct Identifier</t>
  </si>
  <si>
    <t>Medium</t>
  </si>
  <si>
    <t>Checkout form; contact form; backend routes /save-checkout-info and /contact</t>
  </si>
  <si>
    <t>Identify the customer for booking, payment-related follow-up, contact response, and operational recordkeeping.</t>
  </si>
  <si>
    <t>Used to create or update reservation, contact, order, and customer-facing communication records.</t>
  </si>
  <si>
    <t>MongoDB collections: infos, contacts, orders, reservations as applicable; admin/internal views; possible email records.</t>
  </si>
  <si>
    <t>Business Owner; Admin/Internal User; Application Owner; Developer/Technical Support with broad system access.</t>
  </si>
  <si>
    <t>May be included in Stripe payment metadata and Gmail SMTP communications; processed within hosting/database environment.</t>
  </si>
  <si>
    <t>Field appears stored in plaintext in Info and Contact models; TLS in transit assumed; no enforced authentication/RBAC; limited access logging.</t>
  </si>
  <si>
    <t>Retain only while needed for booking management, payment reconciliation, customer communication, or documented business retention purpose.</t>
  </si>
  <si>
    <t>Delete or anonymize when reservation/inquiry lifecycle ends and required business retention period expires.</t>
  </si>
  <si>
    <t>Customer provides information through checkout/contact workflow; purpose should be clear at collection point.</t>
  </si>
  <si>
    <t>Accountability; Identifying Purposes; Limiting Collection; Safeguards; Limiting Use, Disclosure, and Retention</t>
  </si>
  <si>
    <t>PF-001; PF-002; PF-005; PF-006</t>
  </si>
  <si>
    <t>Plaintext storage of direct identifier creates a safeguards gap, especially where internal access is broad and retention rules are not documented.</t>
  </si>
  <si>
    <t>EV-001; EV-002; T-03 Contact_Model_PII.png; T-03 Info_Model_PII.png</t>
  </si>
  <si>
    <t>Sanitized observation from ITGC data flow and model review</t>
  </si>
  <si>
    <t>PI-002</t>
  </si>
  <si>
    <t>Last name</t>
  </si>
  <si>
    <t>Customer last name submitted through checkout or contact form.</t>
  </si>
  <si>
    <t>Identify the customer for reservation, order, communication, and operational follow-up.</t>
  </si>
  <si>
    <t>Used with first name to manage booking, contact, order, and confirmation activities.</t>
  </si>
  <si>
    <t>Field appears stored in plaintext in Info and Contact models; no enforced authentication/RBAC; limited access logging.</t>
  </si>
  <si>
    <t>Retain only while needed for booking, customer communication, payment reconciliation, or documented business retention purpose.</t>
  </si>
  <si>
    <t>Delete or anonymize when operational need ends and retention period expires.</t>
  </si>
  <si>
    <t>Customer provides information through checkout/contact workflow; notice and purpose should be clear.</t>
  </si>
  <si>
    <t>Plaintext direct identifier requires consistent protection, access limitation, and retention documentation.</t>
  </si>
  <si>
    <t>PI-003</t>
  </si>
  <si>
    <t>Email address</t>
  </si>
  <si>
    <t>Checkout / Reservation Workflow; Contact Form Workflow; Email Communication Workflow</t>
  </si>
  <si>
    <t>Customer email address submitted for booking confirmation, contact response, and payment-related communication.</t>
  </si>
  <si>
    <t>Direct Identifier / Contact Information</t>
  </si>
  <si>
    <t>Checkout form; contact form; email communication workflow; backend routes /save-checkout-info and /contact</t>
  </si>
  <si>
    <t>Confirm bookings, respond to inquiries, send transactional emails, and support payment-related communication.</t>
  </si>
  <si>
    <t>Used for customer communication, booking confirmation, contact follow-up, and payment/order association.</t>
  </si>
  <si>
    <t>MongoDB collections: infos, contacts, orders, reservations as applicable; Gmail SMTP records; Stripe/payment metadata where applicable.</t>
  </si>
  <si>
    <t>Business Owner; Admin/Internal User; Application Owner; Developer/Technical Support with broad system access; Founder for Gmail administration.</t>
  </si>
  <si>
    <t>Gmail SMTP; Stripe hosted checkout/payment metadata; hosting/database provider.</t>
  </si>
  <si>
    <t>Email field is encrypted using AES-256-CBC in reviewed models; however, access control, logging, and retention controls remain limited.</t>
  </si>
  <si>
    <t>Retain only while needed for communication, reservation management, payment reconciliation, or documented retention purpose.</t>
  </si>
  <si>
    <t>Delete or anonymize when communication purpose ends and retention period expires.</t>
  </si>
  <si>
    <t>Customer provides email through checkout/contact workflow; contact and transactional communication purposes should be identified.</t>
  </si>
  <si>
    <t>Accountability; Identifying Purposes; Consent; Safeguards; Limiting Use, Disclosure, and Retention; Openness</t>
  </si>
  <si>
    <t>PF-001; PF-002; PF-003; PF-004; PF-005; PF-006</t>
  </si>
  <si>
    <t>Although encrypted in reviewed models, email appears across multiple workflows and vendors, requiring consistent access, logging, retention, and evidence traceability.</t>
  </si>
  <si>
    <t>EV-001; EV-002; EV-003; T-03 Contact_Model_PII.png; T-03 Info_Model_PII.png</t>
  </si>
  <si>
    <t>PI-004</t>
  </si>
  <si>
    <t>Contact number</t>
  </si>
  <si>
    <t>Customer phone number or contact number submitted for booking and communication purposes.</t>
  </si>
  <si>
    <t>Support reservation follow-up, customer service, and operational communication.</t>
  </si>
  <si>
    <t>Used to contact customer about booking, inquiry, or operational issues.</t>
  </si>
  <si>
    <t>MongoDB collections: infos, contacts, orders, reservations as applicable; possible email or admin records.</t>
  </si>
  <si>
    <t>May be included in Gmail SMTP communications or Stripe/payment metadata depending on workflow; hosted within application/database environment.</t>
  </si>
  <si>
    <t>contactNumber field is encrypted using AES-256-CBC in reviewed models; no enforced RBAC; limited access/activity logging.</t>
  </si>
  <si>
    <t>Retain only while needed for reservation or inquiry follow-up and documented business purpose.</t>
  </si>
  <si>
    <t>Delete or anonymize after communication purpose ends and retention period expires.</t>
  </si>
  <si>
    <t>Customer provides phone number through form; collection should be limited to cases where operationally necessary.</t>
  </si>
  <si>
    <t>Accountability; Identifying Purposes; Consent; Limiting Collection; Safeguards; Limiting Use, Disclosure, and Retention</t>
  </si>
  <si>
    <t>PF-001; PF-002; PF-003; PF-005; PF-006</t>
  </si>
  <si>
    <t>Phone number is protected in reviewed models, but broad internal access and incomplete retention documentation remain privacy-relevant concerns.</t>
  </si>
  <si>
    <t>PI-005</t>
  </si>
  <si>
    <t>Address</t>
  </si>
  <si>
    <t>Checkout / Reservation Workflow</t>
  </si>
  <si>
    <t>Customer address entered during checkout/payment-related workflow.</t>
  </si>
  <si>
    <t>Direct Identifier / Location Information</t>
  </si>
  <si>
    <t>High</t>
  </si>
  <si>
    <t>Checkout form; backend route /save-checkout-info</t>
  </si>
  <si>
    <t>Support checkout, order, reservation, payment-related recordkeeping, and operational processing where address is required.</t>
  </si>
  <si>
    <t>Used as part of customer/order record and potentially payment-related metadata.</t>
  </si>
  <si>
    <t>MongoDB collection: infos and order/reservation records as applicable; admin/internal views.</t>
  </si>
  <si>
    <t>May be transmitted to Stripe as payment metadata or used in payment-related workflow; hosted within application/database environment.</t>
  </si>
  <si>
    <t>Address field appears stored in plaintext in reviewed Info model; no enforced authentication/RBAC; limited access logging.</t>
  </si>
  <si>
    <t>Retain only where needed for order/reservation, reconciliation, or documented business retention purpose.</t>
  </si>
  <si>
    <t>Delete or anonymize when no longer required for the identified business purpose and retention period expires.</t>
  </si>
  <si>
    <t>Customer provides address during checkout; collection necessity should be reviewed because address may not always be required for a class booking.</t>
  </si>
  <si>
    <t>Accountability; Identifying Purposes; Limiting Collection; Safeguards; Limiting Use, Disclosure, and Retention; Openness</t>
  </si>
  <si>
    <t>Address is a higher-impact identifier and plaintext storage increases privacy safeguards risk. Collection necessity should be validated against the booking/payment purpose.</t>
  </si>
  <si>
    <t>EV-001; EV-002; T-03 Info_Model_PII.png; No_Login_Checkout_Form.png</t>
  </si>
  <si>
    <t>Sanitized observation from checkout form and model review</t>
  </si>
  <si>
    <t>PI-006</t>
  </si>
  <si>
    <t>Company information</t>
  </si>
  <si>
    <t>Optional company name submitted by customer.</t>
  </si>
  <si>
    <t>Business Contact Information / Potential Identifier</t>
  </si>
  <si>
    <t>Low to Medium</t>
  </si>
  <si>
    <t>Support business customer identification, booking context, or contact inquiry handling where applicable.</t>
  </si>
  <si>
    <t>Used for operational follow-up or customer context when provided.</t>
  </si>
  <si>
    <t>MongoDB collections: infos and contacts as applicable; admin/internal views; possible email records.</t>
  </si>
  <si>
    <t>May appear in Gmail SMTP communications or payment-related metadata depending on workflow.</t>
  </si>
  <si>
    <t>Company field appears stored in plaintext in reviewed models; access control and logging limitations apply.</t>
  </si>
  <si>
    <t>Retain only while needed for the relevant inquiry, reservation, or business record purpose.</t>
  </si>
  <si>
    <t>Delete or anonymize when operational purpose ends and retention period expires.</t>
  </si>
  <si>
    <t>Optional field; collection should remain optional and clearly tied to business context.</t>
  </si>
  <si>
    <t>Company information may identify an individual in a small business context. Optional collection should be justified and protected consistently.</t>
  </si>
  <si>
    <t>PI-007</t>
  </si>
  <si>
    <t>Reservation details</t>
  </si>
  <si>
    <t>Reservation Workflow; Checkout / Payment Workflow</t>
  </si>
  <si>
    <t>Class selected, date, time, participant count, temporary or confirmed reservation status, and customer notes if any.</t>
  </si>
  <si>
    <t>Transactional / Service Use Information</t>
  </si>
  <si>
    <t>Class selection, cart, checkout, reservation submission, Stripe webhook confirmation</t>
  </si>
  <si>
    <t>Manage booking availability, confirm class participation, connect payment status to reservation, and support customer communication.</t>
  </si>
  <si>
    <t>Used to create temporary reservations, confirm reservations after successful payment, update reservation status, and manage operational capacity.</t>
  </si>
  <si>
    <t>MongoDB collections: reservations, orders, infos as applicable; admin/internal views; confirmation emails.</t>
  </si>
  <si>
    <t>Stripe may receive payment-related metadata; Gmail SMTP may transmit confirmation details; hosting/database provider processes stored records.</t>
  </si>
  <si>
    <t>No authentication required for booking/checkout; RBAC not enforced; system logs capture some reservation/payment activity but not access/admin actions.</t>
  </si>
  <si>
    <t>Retain while needed for class delivery, booking records, payment reconciliation, customer service, and documented business retention purpose.</t>
  </si>
  <si>
    <t>Delete or anonymize after class completion, reconciliation, and expiry of documented retention period.</t>
  </si>
  <si>
    <t>Customer initiates booking voluntarily; purpose should be identified before data submission.</t>
  </si>
  <si>
    <t>Accountability; Identifying Purposes; Limiting Collection; Safeguards; Limiting Use, Disclosure, and Retention; Accuracy</t>
  </si>
  <si>
    <t>PF-002; PF-003; PF-004; PF-005; PF-006; PF-007</t>
  </si>
  <si>
    <t>Reservation details link customer identity to activity and payment workflow. Weak access controls, limited logging, and incomplete retention rules create privacy-relevant risk.</t>
  </si>
  <si>
    <t>EV-002; Walkthrough_Documentation; Data_Flow; T-01 No_Login_Cart.png</t>
  </si>
  <si>
    <t>Sanitized observation from walkthrough, data flow, and testing evidence</t>
  </si>
  <si>
    <t>PI-008</t>
  </si>
  <si>
    <t>Contact message content</t>
  </si>
  <si>
    <t>Contact Form Workflow</t>
  </si>
  <si>
    <t>Free-text inquiry submitted by customer through contact form.</t>
  </si>
  <si>
    <t>Free-Text Communication Content</t>
  </si>
  <si>
    <t>Variable</t>
  </si>
  <si>
    <t>Contact form; backend route /contact</t>
  </si>
  <si>
    <t>Respond to customer inquiry and support customer communication.</t>
  </si>
  <si>
    <t>Used by business or operations personnel to understand and respond to inquiry.</t>
  </si>
  <si>
    <t>MongoDB collection: contacts; Gmail SMTP records if reply/notification is sent; admin/internal views.</t>
  </si>
  <si>
    <t>Gmail SMTP; hosting/database provider.</t>
  </si>
  <si>
    <t>Message field appears stored as plaintext; reCAPTCHA and input checks may exist, but no enforced RBAC and no dedicated access logging.</t>
  </si>
  <si>
    <t>Retain only while needed to respond to inquiry and maintain documented business records.</t>
  </si>
  <si>
    <t>Delete or anonymize after inquiry is resolved and retention period expires.</t>
  </si>
  <si>
    <t>Customer voluntarily submits message; form should discourage unnecessary sensitive information where possible.</t>
  </si>
  <si>
    <t>Free-text fields can contain unexpected personal information. Plaintext storage, broad access, and unclear retention increase privacy risk.</t>
  </si>
  <si>
    <t>EV-001; EV-002; T-03 Contact_Model_PII.png; Existing_System_Logs.png</t>
  </si>
  <si>
    <t>Sanitized observation from contact model and data flow review</t>
  </si>
  <si>
    <t>PI-009</t>
  </si>
  <si>
    <t>Payment status</t>
  </si>
  <si>
    <t>Checkout / Payment Workflow; Stripe Webhook Workflow</t>
  </si>
  <si>
    <t>Payment state such as paid, pending, failed, refunded, or confirmed after Stripe-hosted checkout.</t>
  </si>
  <si>
    <t>Transactional / Payment-Related Information</t>
  </si>
  <si>
    <t>Stripe hosted checkout result; Stripe webhook events; application payment confirmation logic</t>
  </si>
  <si>
    <t>Confirm payment completion, update reservation status, create order record, and support reconciliation.</t>
  </si>
  <si>
    <t>Used to determine whether reservation should be confirmed and whether order/confirmation email should be generated.</t>
  </si>
  <si>
    <t>MongoDB collections: orders and reservations as applicable; backend processing records; possible admin/internal views.</t>
  </si>
  <si>
    <t>Stripe processes payment externally; internal application receives payment status or related metadata through webhook events.</t>
  </si>
  <si>
    <t>Cardholder data is not stored internally; however, payment status is linked to customer/reservation records. RBAC and logging limitations apply.</t>
  </si>
  <si>
    <t>Retain while needed for payment reconciliation, booking confirmation, dispute handling, and documented business retention purpose.</t>
  </si>
  <si>
    <t>Delete or anonymize after reconciliation and retention period expires, subject to business/legal needs.</t>
  </si>
  <si>
    <t>Payment-related processing should be disclosed through checkout/payment and privacy notice context.</t>
  </si>
  <si>
    <t>Accountability; Identifying Purposes; Safeguards; Openness; Limiting Use, Disclosure, and Retention</t>
  </si>
  <si>
    <t>PF-003; PF-004; PF-005; PF-006</t>
  </si>
  <si>
    <t>Payment status is privacy-relevant when linked to a customer and reservation. Internal retained payment metadata should be clearly documented.</t>
  </si>
  <si>
    <t>EV-003; Data_Flow; Walkthrough_Documentation; T-07 No_Third_Party_Audit_Evidence.png</t>
  </si>
  <si>
    <t>Sanitized observation from data flow and Stripe workflow review</t>
  </si>
  <si>
    <t>PI-010</t>
  </si>
  <si>
    <t>Stripe transaction/payment reference</t>
  </si>
  <si>
    <t>Checkout / Payment Workflow; Vendor Processing Workflow</t>
  </si>
  <si>
    <t>Stripe session ID, payment intent reference, transaction reference, or similar external payment identifier.</t>
  </si>
  <si>
    <t>Transactional / Vendor Reference</t>
  </si>
  <si>
    <t>Stripe hosted checkout; webhook events; backend payment confirmation logic</t>
  </si>
  <si>
    <t>Link external payment event to internal reservation or order record and support reconciliation.</t>
  </si>
  <si>
    <t>Used to validate payment completion, support troubleshooting, and connect payment event to internal operational record.</t>
  </si>
  <si>
    <t>Stripe environment; MongoDB orders/reservations or payment-related metadata fields where applicable; backend logs if captured.</t>
  </si>
  <si>
    <t>Business Owner; Application Owner; Developer/Technical Support with broad system access; Founder for Stripe administration.</t>
  </si>
  <si>
    <t>Stripe is the primary external processor for payment references.</t>
  </si>
  <si>
    <t>Hosted checkout reduces internal cardholder data exposure; however, vendor processing documentation and internal retained metadata boundary need documentation.</t>
  </si>
  <si>
    <t>Retain while needed for reconciliation, dispute handling, customer support, and documented retention purpose.</t>
  </si>
  <si>
    <t>Delete or anonymize internal references after retention period expires if no longer operationally required.</t>
  </si>
  <si>
    <t>Payment processing should be disclosed through checkout/payment context and privacy notice.</t>
  </si>
  <si>
    <t>Accountability; Safeguards; Openness; Limiting Use, Disclosure, and Retention</t>
  </si>
  <si>
    <t>PF-004; PF-005; PF-006</t>
  </si>
  <si>
    <t>Stripe reference is not full payment card data, but it links a customer/reservation to a third-party payment event. The internal/external data boundary should be documented.</t>
  </si>
  <si>
    <t>EV-003; Data_Flow; T-07 No_Third_Party_Audit_Evidence.png</t>
  </si>
  <si>
    <t>Sanitized observation from Stripe integration review</t>
  </si>
  <si>
    <t>PI-011</t>
  </si>
  <si>
    <t>Order record</t>
  </si>
  <si>
    <t>Checkout / Payment Workflow; Reservation Workflow</t>
  </si>
  <si>
    <t>Internal order record created after successful payment, potentially linking customer identifiers, reservation details, payment status, and payment reference.</t>
  </si>
  <si>
    <t>Combined Transactional Record</t>
  </si>
  <si>
    <t>Medium to High</t>
  </si>
  <si>
    <t>Stripe successful payment event; backend order creation logic; database write after checkout</t>
  </si>
  <si>
    <t>Maintain operational record of purchase/reservation and support confirmation, reconciliation, and customer service.</t>
  </si>
  <si>
    <t>Used to confirm purchase, connect payment to booking, send confirmation email, and support operations.</t>
  </si>
  <si>
    <t>MongoDB collection: orders; related reservation records; admin/internal views; confirmation email context.</t>
  </si>
  <si>
    <t>Stripe for payment confirmation; Gmail SMTP for confirmation emails; hosting/database provider.</t>
  </si>
  <si>
    <t>No authentication required for checkout; RBAC not enforced; partial encryption depending on included fields; limited user/admin logging.</t>
  </si>
  <si>
    <t>Retain while needed for class operations, accounting/reconciliation, customer support, and documented retention purpose.</t>
  </si>
  <si>
    <t>Delete or anonymize when business retention purpose ends and retention period expires.</t>
  </si>
  <si>
    <t>Order creation follows customer-initiated checkout; privacy notice should explain payment/order data handling.</t>
  </si>
  <si>
    <t>Accountability; Identifying Purposes; Safeguards; Accuracy; Limiting Use, Disclosure, and Retention</t>
  </si>
  <si>
    <t>PF-001; PF-002; PF-003; PF-004; PF-005; PF-006; PF-007</t>
  </si>
  <si>
    <t>Order records aggregate multiple privacy-relevant elements, increasing impact if access, logging, encryption, or retention controls are weak.</t>
  </si>
  <si>
    <t>EV-002; EV-003; Data_Flow; Walkthrough_Documentation</t>
  </si>
  <si>
    <t>Sanitized observation from data flow and walkthrough</t>
  </si>
  <si>
    <t>PI-012</t>
  </si>
  <si>
    <t>Admin/internal user identifiers</t>
  </si>
  <si>
    <t>Admin / Internal Access Workflow; Access Governance Workflow</t>
  </si>
  <si>
    <t>Developer, founder, or internal account identifiers associated with GitHub, Render, Stripe, Gmail, Cloudinary, or database access.</t>
  </si>
  <si>
    <t>Internal Identifier / Accountability Data</t>
  </si>
  <si>
    <t>GitHub repository; Render deployment platform; Stripe admin; Gmail administration; Cloudinary access; database connection usage</t>
  </si>
  <si>
    <t>Support system administration, deployment, vendor management, and accountability for internal access.</t>
  </si>
  <si>
    <t>Used to administer systems, manage deployments, troubleshoot issues, access vendor services, and support operational activity.</t>
  </si>
  <si>
    <t>GitHub, Render, Stripe, Gmail, Cloudinary, local development environment, environment variable stores, and related access records.</t>
  </si>
  <si>
    <t>Developer; Founder; Application Owner; Business Owner depending on platform.</t>
  </si>
  <si>
    <t>GitHub; Render; Stripe; Gmail; Cloudinary; database hosting provider.</t>
  </si>
  <si>
    <t>Access is fragmented across platforms; no centralized access governance model; no formal provisioning, approval, access review, or revocation process.</t>
  </si>
  <si>
    <t>Retain access records while needed for accountability, audit trail, security, and business administration.</t>
  </si>
  <si>
    <t>Remove or disable access when role changes, access is no longer required, or relationship ends.</t>
  </si>
  <si>
    <t>Internal user privacy and accountability data should be limited to access governance and security purposes.</t>
  </si>
  <si>
    <t>Accountability; Safeguards; Challenging Compliance; Limiting Use, Disclosure, and Retention</t>
  </si>
  <si>
    <t>PF-002; PF-003; PF-006; PF-007</t>
  </si>
  <si>
    <t>Internal access identifiers are required for accountability, but lack of centralized governance weakens ability to prove who had access to personal information and when.</t>
  </si>
  <si>
    <t>EV-004; Access_Control_Analysis; UAR_Review; SoD_Analysis</t>
  </si>
  <si>
    <t>Sanitized observation from access control and access mapping review</t>
  </si>
  <si>
    <t>PI-013</t>
  </si>
  <si>
    <t>System logs and access records</t>
  </si>
  <si>
    <t>Logging / Monitoring Workflow</t>
  </si>
  <si>
    <t>Winston error.log and combined.log entries capturing application errors, system events, database connection events, payment/reservation activity, CSRF or reCAPTCHA events, and selected request activity.</t>
  </si>
  <si>
    <t>Technical Metadata / Accountability Record</t>
  </si>
  <si>
    <t>Application logging layer; Winston logs; server/runtime events</t>
  </si>
  <si>
    <t>Support troubleshooting, security monitoring, incident investigation, and operational visibility.</t>
  </si>
  <si>
    <t>Used to review system behavior, errors, payment/reservation processing, and selected security-related events.</t>
  </si>
  <si>
    <t>Application log files: error.log and combined.log; hosting/deployment environment where logs are stored or viewed.</t>
  </si>
  <si>
    <t>Developer/Technical Support; Application Owner; potentially hosting/deployment administrators.</t>
  </si>
  <si>
    <t>Hosting/deployment provider; logging environment if externalized.</t>
  </si>
  <si>
    <t>System-level logging exists, but no dedicated logging for user access, authentication events, or administrative actions. Some logs may contain partially masked PII.</t>
  </si>
  <si>
    <t>Retain logs only for a defined troubleshooting, security, or audit period. Avoid unnecessary retention of logs containing personal information.</t>
  </si>
  <si>
    <t>Delete or rotate logs according to documented log retention schedule.</t>
  </si>
  <si>
    <t>Logging should be disclosed where relevant and limited to security, troubleshooting, and accountability purposes.</t>
  </si>
  <si>
    <t>Accountability; Safeguards; Challenging Compliance; Limiting Collection; Limiting Use, Disclosure, and Retention</t>
  </si>
  <si>
    <t>PF-003; PF-005; PF-006</t>
  </si>
  <si>
    <t>Logging is privacy-relevant in two directions: insufficient access logging weakens accountability, while logs containing personal information require retention and minimization controls.</t>
  </si>
  <si>
    <t>EV-005; T-06 Existing_System_Logs.png; T-06 No_Access_Activity_Logging.png</t>
  </si>
  <si>
    <t>Sanitized observation from logging review and testing evidence</t>
  </si>
  <si>
    <t>PI-014</t>
  </si>
  <si>
    <t>IP, device, or session metadata</t>
  </si>
  <si>
    <t>Checkout / Contact / Logging Workflow</t>
  </si>
  <si>
    <t>IP address, device information, session identifier, request metadata, reCAPTCHA details, or similar technical metadata if collected or logged.</t>
  </si>
  <si>
    <t>Technical Metadata / Online Identifier</t>
  </si>
  <si>
    <t>Web requests; server logs; reCAPTCHA validation; hosting or application logs</t>
  </si>
  <si>
    <t>Support fraud prevention, bot protection, troubleshooting, security monitoring, and service operation.</t>
  </si>
  <si>
    <t>Used to validate requests, monitor abuse, troubleshoot errors, and support security investigation where captured.</t>
  </si>
  <si>
    <t>Application logs, hosting/deployment logs, reCAPTCHA-related logs, or server request records if retained.</t>
  </si>
  <si>
    <t>Developer/Technical Support; Application Owner; hosting/deployment administrators.</t>
  </si>
  <si>
    <t>Hosting/deployment provider; reCAPTCHA/Google service if used; logging environment if applicable.</t>
  </si>
  <si>
    <t>reCAPTCHA validation and system logging observed; exact scope of IP/device/session storage is not fully validated. Access and retention controls are not fully documented.</t>
  </si>
  <si>
    <t>Retain only for documented security, fraud prevention, troubleshooting, or operational purpose.</t>
  </si>
  <si>
    <t>Delete or anonymize according to documented technical log retention schedule.</t>
  </si>
  <si>
    <t>Technical metadata collection should be disclosed where relevant and limited to necessary purposes.</t>
  </si>
  <si>
    <t>Technical metadata can become privacy-relevant when linked to an identifiable user or transaction. Scope and retention should be documented.</t>
  </si>
  <si>
    <t>EV-005; Existing_System_Logs.png; No_Access_Activity_Logging.png</t>
  </si>
  <si>
    <t>Assumption supported by logging and reCAPTCHA evidence</t>
  </si>
  <si>
    <t>PI-015</t>
  </si>
  <si>
    <t>Payment amount / order total</t>
  </si>
  <si>
    <t>Checkout / Payment Workflow</t>
  </si>
  <si>
    <t>Total cost, tax, discount, promo code effect, class price, or payment amount associated with a customer order.</t>
  </si>
  <si>
    <t>Transactional / Financial-Related Information</t>
  </si>
  <si>
    <t>Cart and checkout page; Stripe hosted checkout; order creation workflow</t>
  </si>
  <si>
    <t>Calculate customer payment amount, support checkout, confirm transaction, and reconcile order records.</t>
  </si>
  <si>
    <t>Used to present order summary, process payment, update order status, and support reconciliation.</t>
  </si>
  <si>
    <t>Checkout/order workflow; Stripe payment environment; MongoDB orders or related payment/order records as applicable.</t>
  </si>
  <si>
    <t>Stripe; hosting/database provider; possible Gmail SMTP confirmation records.</t>
  </si>
  <si>
    <t>Payment amount is processed through checkout and Stripe; no cardholder data is stored internally. Access, logging, and retention documentation remain relevant.</t>
  </si>
  <si>
    <t>Retain while needed for transaction reconciliation, accounting, customer support, and documented business purpose.</t>
  </si>
  <si>
    <t>Delete or anonymize when no longer required and retention period expires.</t>
  </si>
  <si>
    <t>Customer sees and initiates payment; purpose should be clear during checkout and privacy notice context.</t>
  </si>
  <si>
    <t>Transaction amount is privacy-relevant when linked to customer identity and reservation details. Retention and vendor processing boundary should be documented.</t>
  </si>
  <si>
    <t>EV-002; EV-003; No_Login_Cart.png; Data_Flow</t>
  </si>
  <si>
    <t>Sanitized observation from checkout workflow and data flow</t>
  </si>
  <si>
    <t>PI-016</t>
  </si>
  <si>
    <t>Privacy policy acknowledgement indicator</t>
  </si>
  <si>
    <t>Checkout / Consent-Acknowledgement Workflow</t>
  </si>
  <si>
    <t>Checkbox or user interface signal indicating acknowledgement of privacy policy during checkout.</t>
  </si>
  <si>
    <t>Consent / Notice Interaction Metadata</t>
  </si>
  <si>
    <t>Checkout form privacy policy checkbox</t>
  </si>
  <si>
    <t>Record or support notice/acknowledgement that customer was presented with privacy policy before payment-related action.</t>
  </si>
  <si>
    <t>Potentially used to demonstrate customer-facing notice or acknowledgement, if stored or logged.</t>
  </si>
  <si>
    <t>Observed in checkout UI; storage location not validated. Could be frontend-only unless backend capture exists.</t>
  </si>
  <si>
    <t>Business Owner; Application Owner; Developer/Technical Support if stored or logged.</t>
  </si>
  <si>
    <t>No confirmed third-party sharing. May be connected to checkout workflow if transmitted with payment/order data.</t>
  </si>
  <si>
    <t>Checkbox observed in UI; storage and evidence capture not validated. Should not be treated as proof of valid consent without backend evidence.</t>
  </si>
  <si>
    <t>If captured, retain only as long as needed to demonstrate notice/acknowledgement or support dispute/audit purpose.</t>
  </si>
  <si>
    <t>Delete or anonymize when no longer required for documented notice/audit purpose.</t>
  </si>
  <si>
    <t>This is an acknowledgement/notice indicator, not proof of full consent validity by itself.</t>
  </si>
  <si>
    <t>Accountability; Consent; Openness; Identifying Purposes</t>
  </si>
  <si>
    <t>PF-006; PF-007</t>
  </si>
  <si>
    <t>The UI includes a privacy policy acknowledgement mechanism, but backend capture and evidence traceability are not validated. Do not overstate this as a complete consent control.</t>
  </si>
  <si>
    <t>EV-002; No_Login_Checkout_Form.png</t>
  </si>
  <si>
    <t>Observed UI evidence; storage not validated</t>
  </si>
  <si>
    <t>List Name</t>
  </si>
  <si>
    <t>Stripe Webhook Workflow</t>
  </si>
  <si>
    <t>Admin / Internal Access Workflow</t>
  </si>
  <si>
    <t>Vendor Processing Workflow</t>
  </si>
  <si>
    <t>Consent-Acknowledgement Workflow</t>
  </si>
  <si>
    <t>Low</t>
  </si>
  <si>
    <t>Finding ID</t>
  </si>
  <si>
    <t>PF-001</t>
  </si>
  <si>
    <t>PF-002</t>
  </si>
  <si>
    <t>PF-003</t>
  </si>
  <si>
    <t>PF-004</t>
  </si>
  <si>
    <t>PF-005</t>
  </si>
  <si>
    <t>PF-006</t>
  </si>
  <si>
    <t>PF-007</t>
  </si>
  <si>
    <t>PIPEDA Principle</t>
  </si>
  <si>
    <t>Accountability</t>
  </si>
  <si>
    <t>Identifying Purposes</t>
  </si>
  <si>
    <t>Consent</t>
  </si>
  <si>
    <t>Limiting Collection</t>
  </si>
  <si>
    <t>Limiting Use, Disclosure, and Retention</t>
  </si>
  <si>
    <t>Accuracy</t>
  </si>
  <si>
    <t>Safeguards</t>
  </si>
  <si>
    <t>Openness</t>
  </si>
  <si>
    <t>Individual Access</t>
  </si>
  <si>
    <t>Challenging Compliance</t>
  </si>
  <si>
    <t>Evidence ID</t>
  </si>
  <si>
    <t>Evidence Name</t>
  </si>
  <si>
    <t>Source Type</t>
  </si>
  <si>
    <t>Privacy Use</t>
  </si>
  <si>
    <t>Related Data Elements</t>
  </si>
  <si>
    <t>EV-001</t>
  </si>
  <si>
    <t>Sanitized data model reference</t>
  </si>
  <si>
    <t>Sanitized evidence reference</t>
  </si>
  <si>
    <t>Supports field-level inventory and model-based PI identification</t>
  </si>
  <si>
    <t>PI-001 to PI-006; PI-008</t>
  </si>
  <si>
    <t>Based on reviewed Info and Contact model structures.</t>
  </si>
  <si>
    <t>EV-002</t>
  </si>
  <si>
    <t>Sanitized application workflow reference</t>
  </si>
  <si>
    <t>Supports checkout, reservation, contact, and privacy policy acknowledgement workflow analysis</t>
  </si>
  <si>
    <t>PI-001 to PI-008; PI-011; PI-015; PI-016</t>
  </si>
  <si>
    <t>PF-002; PF-005; PF-006</t>
  </si>
  <si>
    <t>Based on checkout/contact workflow evidence.</t>
  </si>
  <si>
    <t>EV-003</t>
  </si>
  <si>
    <t>Sanitized vendor dependency reference</t>
  </si>
  <si>
    <t>Supports Stripe, Gmail SMTP, Cloudinary, hosting, and payment boundary analysis</t>
  </si>
  <si>
    <t>PI-003; PI-007; PI-009; PI-010; PI-011; PI-015</t>
  </si>
  <si>
    <t>PF-004; PF-006</t>
  </si>
  <si>
    <t>Used for third-party processing assessment.</t>
  </si>
  <si>
    <t>EV-004</t>
  </si>
  <si>
    <t>Sanitized access review reference</t>
  </si>
  <si>
    <t>Supports access role, privileged access, RBAC, UAR, and SoD observations</t>
  </si>
  <si>
    <t>PI-001 to PI-013</t>
  </si>
  <si>
    <t>Based on access control, UAR, and SoD evidence.</t>
  </si>
  <si>
    <t>EV-005</t>
  </si>
  <si>
    <t>Sanitized logging review reference</t>
  </si>
  <si>
    <t>Supports logging, monitoring, access record, and technical metadata observations</t>
  </si>
  <si>
    <t>PI-013; PI-014</t>
  </si>
  <si>
    <t>PF-003; PF-006</t>
  </si>
  <si>
    <t>Based on Winston log and missing access/admin logging evidence.</t>
  </si>
  <si>
    <t>EV-006</t>
  </si>
  <si>
    <t>Sanitized retention review reference</t>
  </si>
  <si>
    <t>Supports retention/deletion gap analysis across personal information categories</t>
  </si>
  <si>
    <t>All inventory elements</t>
  </si>
  <si>
    <t>PF-005; PF-006</t>
  </si>
  <si>
    <t>Used where retention period or deletion trigger is not formally documented.</t>
  </si>
  <si>
    <t>T-01</t>
  </si>
  <si>
    <t>No_Login_Cart.png and No_Login_Checkout_Form.png</t>
  </si>
  <si>
    <t>Screenshot evidence</t>
  </si>
  <si>
    <t>Supports no authentication for checkout/reservation actions</t>
  </si>
  <si>
    <t>PI-001 to PI-007; PI-011; PI-015; PI-016</t>
  </si>
  <si>
    <t>Shows users can proceed to checkout and form submission without login.</t>
  </si>
  <si>
    <t>T-02</t>
  </si>
  <si>
    <t>No_Auth_RBAC_Middleware.png</t>
  </si>
  <si>
    <t>Supports absence of authentication/authorization middleware and RBAC enforcement</t>
  </si>
  <si>
    <t>PF-002; PF-007</t>
  </si>
  <si>
    <t>Search did not identify authentication, admin, authorize, or auth middleware.</t>
  </si>
  <si>
    <t>T-03</t>
  </si>
  <si>
    <t>Contact_Model_PII.png and Info_Model_PII.png</t>
  </si>
  <si>
    <t>Supports field-level encryption and plaintext data observations</t>
  </si>
  <si>
    <t>Email and contact number encrypted; firstName, lastName, address, and company plaintext.</t>
  </si>
  <si>
    <t>T-04</t>
  </si>
  <si>
    <t>env_File_Masked.png</t>
  </si>
  <si>
    <t>Supports secrets management and broad access considerations</t>
  </si>
  <si>
    <t>Indirect support for all customer PI</t>
  </si>
  <si>
    <t>Credentials masked; used only as sanitized evidence.</t>
  </si>
  <si>
    <t>T-05</t>
  </si>
  <si>
    <t>Direct_Commits_Main_Branch.png and Single_Main_Branch.png</t>
  </si>
  <si>
    <t>Supports change management risk for systems handling personal information</t>
  </si>
  <si>
    <t>All system-handled PI</t>
  </si>
  <si>
    <t>Direct commits and single branch support change governance observation.</t>
  </si>
  <si>
    <t>T-06</t>
  </si>
  <si>
    <t>Existing_System_Logs.png and No_Access_Activity_Logging.png</t>
  </si>
  <si>
    <t>Supports partial system logging and absence of user/admin access logging</t>
  </si>
  <si>
    <t>Winston logs exist but no dedicated access/admin activity logs identified.</t>
  </si>
  <si>
    <t>T-07</t>
  </si>
  <si>
    <t>No_Third_Party_Audit_Evidence.png</t>
  </si>
  <si>
    <t>Supports lack of centralized vendor risk assessment evidence</t>
  </si>
  <si>
    <t>Used carefully. No claim of Stripe internal 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</si>
</sst>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libri"/>
      <scheme val="minor"/>
    </font>
    <font>
      <sz val="11"/>
      <name val="Calibri"/>
      <scheme val="minor"/>
    </font>
    <font>
      <b/>
      <sz val="11"/>
      <color rgb="FF1F4E79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3" fillId="3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wrapText="1"/>
    </xf>
    <xf numFmtId="0" fontId="4" fillId="2" borderId="1" xfId="0" applyNumberFormat="1" applyFont="1" applyFill="1" applyBorder="1" applyAlignment="1">
      <alignment wrapText="1"/>
    </xf>
    <xf numFmtId="0" fontId="4" fillId="2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Normal="100" zoomScaleSheetLayoutView="100" workbookViewId="0">
      <selection activeCell="B14" sqref="B14"/>
    </sheetView>
  </sheetViews>
  <sheetFormatPr defaultRowHeight="15"/>
  <cols>
    <col min="1" max="1" width="36" style="2" customWidth="1"/>
    <col min="2" max="2" width="70" style="2" customWidth="1"/>
    <col min="3" max="3" width="38" style="2" customWidth="1"/>
    <col min="4" max="4" width="34" style="2" customWidth="1"/>
    <col min="5" max="16384" width="9" style="2"/>
  </cols>
  <sheetData>
    <row r="1" spans="1:4" ht="18.75">
      <c r="A1" s="1" t="s">
        <v>0</v>
      </c>
      <c r="B1" s="1"/>
      <c r="C1" s="1"/>
      <c r="D1" s="1"/>
    </row>
    <row r="2" spans="1:4">
      <c r="A2" s="3" t="s">
        <v>1</v>
      </c>
      <c r="B2" s="3"/>
      <c r="C2" s="3"/>
      <c r="D2" s="3"/>
    </row>
    <row r="3" spans="1:4" ht="45.75">
      <c r="A3" s="4" t="s">
        <v>2</v>
      </c>
      <c r="B3" s="4" t="s">
        <v>3</v>
      </c>
      <c r="C3" s="4"/>
      <c r="D3" s="4"/>
    </row>
    <row r="4" spans="1:4" ht="30.75">
      <c r="A4" s="4" t="s">
        <v>4</v>
      </c>
      <c r="B4" s="4" t="s">
        <v>5</v>
      </c>
      <c r="C4" s="4"/>
      <c r="D4" s="4"/>
    </row>
    <row r="5" spans="1:4">
      <c r="A5" s="4" t="s">
        <v>6</v>
      </c>
      <c r="B5" s="4" t="s">
        <v>7</v>
      </c>
      <c r="C5" s="4"/>
      <c r="D5" s="4"/>
    </row>
    <row r="6" spans="1:4">
      <c r="A6" s="4"/>
      <c r="B6" s="4"/>
      <c r="C6" s="4"/>
      <c r="D6" s="4"/>
    </row>
    <row r="7" spans="1:4">
      <c r="A7" s="5" t="s">
        <v>8</v>
      </c>
      <c r="B7" s="5" t="s">
        <v>9</v>
      </c>
      <c r="C7" s="5" t="s">
        <v>10</v>
      </c>
      <c r="D7" s="5" t="s">
        <v>11</v>
      </c>
    </row>
    <row r="8" spans="1:4">
      <c r="A8" s="4" t="s">
        <v>12</v>
      </c>
      <c r="B8" s="4">
        <f>COUNTA(Inventory!A2:A17)</f>
        <v>16</v>
      </c>
      <c r="C8" s="4" t="s">
        <v>13</v>
      </c>
      <c r="D8" s="4" t="s">
        <v>14</v>
      </c>
    </row>
    <row r="9" spans="1:4">
      <c r="A9" s="4" t="s">
        <v>15</v>
      </c>
      <c r="B9" s="4">
        <f>COUNTIF(Inventory!F2:F17,"High")</f>
        <v>1</v>
      </c>
      <c r="C9" s="4" t="s">
        <v>16</v>
      </c>
      <c r="D9" s="4" t="s">
        <v>17</v>
      </c>
    </row>
    <row r="10" spans="1:4">
      <c r="A10" s="4" t="s">
        <v>18</v>
      </c>
      <c r="B10" s="4">
        <f>COUNTIF(Inventory!F2:F17,"Variable")</f>
        <v>1</v>
      </c>
      <c r="C10" s="4" t="s">
        <v>19</v>
      </c>
      <c r="D10" s="4" t="s">
        <v>20</v>
      </c>
    </row>
    <row r="11" spans="1:4">
      <c r="A11" s="4" t="s">
        <v>21</v>
      </c>
      <c r="B11" s="4">
        <f>COUNTIF(Inventory!L2:L17,"*Stripe*")</f>
        <v>11</v>
      </c>
      <c r="C11" s="4" t="s">
        <v>22</v>
      </c>
      <c r="D11" s="4" t="s">
        <v>23</v>
      </c>
    </row>
    <row r="12" spans="1:4">
      <c r="A12" s="4" t="s">
        <v>24</v>
      </c>
      <c r="B12" s="4">
        <f>COUNTIF(Inventory!R2:R17,"*PF-005*")</f>
        <v>14</v>
      </c>
      <c r="C12" s="4" t="s">
        <v>25</v>
      </c>
      <c r="D12" s="4" t="s">
        <v>26</v>
      </c>
    </row>
    <row r="13" spans="1:4">
      <c r="A13" s="4" t="s">
        <v>27</v>
      </c>
      <c r="B13" s="4">
        <f>COUNTIF(Inventory!R2:R17,"*PF-002*")</f>
        <v>10</v>
      </c>
      <c r="C13" s="4" t="s">
        <v>28</v>
      </c>
      <c r="D13" s="4" t="s">
        <v>29</v>
      </c>
    </row>
    <row r="14" spans="1:4">
      <c r="A14" s="4" t="s">
        <v>30</v>
      </c>
      <c r="B14" s="4">
        <f>COUNTIF(Inventory!R2:R17,"*PF-003*")</f>
        <v>9</v>
      </c>
      <c r="C14" s="4" t="s">
        <v>31</v>
      </c>
      <c r="D14" s="4" t="s">
        <v>32</v>
      </c>
    </row>
    <row r="15" spans="1:4" ht="30.75">
      <c r="A15" s="4" t="s">
        <v>33</v>
      </c>
      <c r="B15" s="4" t="s">
        <v>34</v>
      </c>
      <c r="C15" s="4"/>
      <c r="D15" s="4"/>
    </row>
    <row r="16" spans="1:4" ht="45.75">
      <c r="A16" s="4" t="s">
        <v>35</v>
      </c>
      <c r="B16" s="4" t="s">
        <v>36</v>
      </c>
      <c r="C16" s="4"/>
      <c r="D16" s="4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tabSelected="1" zoomScaleNormal="100" zoomScaleSheetLayoutView="100" workbookViewId="0">
      <selection activeCell="A2" sqref="A2"/>
    </sheetView>
  </sheetViews>
  <sheetFormatPr defaultRowHeight="15"/>
  <cols>
    <col min="1" max="1" width="14" customWidth="1"/>
    <col min="2" max="2" width="22" customWidth="1"/>
    <col min="3" max="3" width="30" customWidth="1"/>
    <col min="4" max="4" width="38" customWidth="1"/>
    <col min="5" max="5" width="22" customWidth="1"/>
    <col min="6" max="6" width="16" customWidth="1"/>
    <col min="7" max="7" width="36" customWidth="1"/>
    <col min="8" max="9" width="42" customWidth="1"/>
    <col min="10" max="12" width="38" customWidth="1"/>
    <col min="13" max="13" width="48" customWidth="1"/>
    <col min="14" max="14" width="42" customWidth="1"/>
    <col min="15" max="15" width="38" customWidth="1"/>
    <col min="16" max="16" width="42" customWidth="1"/>
    <col min="17" max="17" width="48" customWidth="1"/>
    <col min="18" max="18" width="22" customWidth="1"/>
    <col min="19" max="19" width="52" customWidth="1"/>
    <col min="20" max="20" width="38" customWidth="1"/>
    <col min="21" max="21" width="30" customWidth="1"/>
  </cols>
  <sheetData>
    <row r="1" spans="1:21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52</v>
      </c>
      <c r="Q1" s="6" t="s">
        <v>53</v>
      </c>
      <c r="R1" s="6" t="s">
        <v>54</v>
      </c>
      <c r="S1" s="6" t="s">
        <v>55</v>
      </c>
      <c r="T1" s="6" t="s">
        <v>56</v>
      </c>
      <c r="U1" s="6" t="s">
        <v>10</v>
      </c>
    </row>
    <row r="2" spans="1:21" ht="45.75">
      <c r="A2" s="7" t="s">
        <v>57</v>
      </c>
      <c r="B2" s="7" t="s">
        <v>58</v>
      </c>
      <c r="C2" s="7" t="s">
        <v>59</v>
      </c>
      <c r="D2" s="7" t="s">
        <v>60</v>
      </c>
      <c r="E2" s="7" t="s">
        <v>61</v>
      </c>
      <c r="F2" s="7" t="s">
        <v>62</v>
      </c>
      <c r="G2" s="7" t="s">
        <v>63</v>
      </c>
      <c r="H2" s="7" t="s">
        <v>64</v>
      </c>
      <c r="I2" s="7" t="s">
        <v>65</v>
      </c>
      <c r="J2" s="7" t="s">
        <v>66</v>
      </c>
      <c r="K2" s="7" t="s">
        <v>67</v>
      </c>
      <c r="L2" s="7" t="s">
        <v>68</v>
      </c>
      <c r="M2" s="7" t="s">
        <v>69</v>
      </c>
      <c r="N2" s="7" t="s">
        <v>70</v>
      </c>
      <c r="O2" s="7" t="s">
        <v>71</v>
      </c>
      <c r="P2" s="7" t="s">
        <v>72</v>
      </c>
      <c r="Q2" s="7" t="s">
        <v>73</v>
      </c>
      <c r="R2" s="7" t="s">
        <v>74</v>
      </c>
      <c r="S2" s="7" t="s">
        <v>75</v>
      </c>
      <c r="T2" s="7" t="s">
        <v>76</v>
      </c>
      <c r="U2" s="7" t="s">
        <v>77</v>
      </c>
    </row>
    <row r="3" spans="1:21" ht="45.75">
      <c r="A3" s="7" t="s">
        <v>78</v>
      </c>
      <c r="B3" s="7" t="s">
        <v>79</v>
      </c>
      <c r="C3" s="7" t="s">
        <v>59</v>
      </c>
      <c r="D3" s="7" t="s">
        <v>80</v>
      </c>
      <c r="E3" s="7" t="s">
        <v>61</v>
      </c>
      <c r="F3" s="7" t="s">
        <v>62</v>
      </c>
      <c r="G3" s="7" t="s">
        <v>63</v>
      </c>
      <c r="H3" s="7" t="s">
        <v>81</v>
      </c>
      <c r="I3" s="7" t="s">
        <v>82</v>
      </c>
      <c r="J3" s="7" t="s">
        <v>66</v>
      </c>
      <c r="K3" s="7" t="s">
        <v>67</v>
      </c>
      <c r="L3" s="7" t="s">
        <v>68</v>
      </c>
      <c r="M3" s="7" t="s">
        <v>83</v>
      </c>
      <c r="N3" s="7" t="s">
        <v>84</v>
      </c>
      <c r="O3" s="7" t="s">
        <v>85</v>
      </c>
      <c r="P3" s="7" t="s">
        <v>86</v>
      </c>
      <c r="Q3" s="7" t="s">
        <v>73</v>
      </c>
      <c r="R3" s="7" t="s">
        <v>74</v>
      </c>
      <c r="S3" s="7" t="s">
        <v>87</v>
      </c>
      <c r="T3" s="7" t="s">
        <v>76</v>
      </c>
      <c r="U3" s="7" t="s">
        <v>77</v>
      </c>
    </row>
    <row r="4" spans="1:21" ht="60.75">
      <c r="A4" s="7" t="s">
        <v>88</v>
      </c>
      <c r="B4" s="7" t="s">
        <v>89</v>
      </c>
      <c r="C4" s="7" t="s">
        <v>90</v>
      </c>
      <c r="D4" s="7" t="s">
        <v>91</v>
      </c>
      <c r="E4" s="7" t="s">
        <v>92</v>
      </c>
      <c r="F4" s="7" t="s">
        <v>62</v>
      </c>
      <c r="G4" s="7" t="s">
        <v>93</v>
      </c>
      <c r="H4" s="7" t="s">
        <v>94</v>
      </c>
      <c r="I4" s="7" t="s">
        <v>95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104</v>
      </c>
      <c r="S4" s="7" t="s">
        <v>105</v>
      </c>
      <c r="T4" s="7" t="s">
        <v>106</v>
      </c>
      <c r="U4" s="7" t="s">
        <v>77</v>
      </c>
    </row>
    <row r="5" spans="1:21" ht="60.75">
      <c r="A5" s="7" t="s">
        <v>107</v>
      </c>
      <c r="B5" s="7" t="s">
        <v>108</v>
      </c>
      <c r="C5" s="7" t="s">
        <v>59</v>
      </c>
      <c r="D5" s="7" t="s">
        <v>109</v>
      </c>
      <c r="E5" s="7" t="s">
        <v>92</v>
      </c>
      <c r="F5" s="7" t="s">
        <v>62</v>
      </c>
      <c r="G5" s="7" t="s">
        <v>63</v>
      </c>
      <c r="H5" s="7" t="s">
        <v>110</v>
      </c>
      <c r="I5" s="7" t="s">
        <v>111</v>
      </c>
      <c r="J5" s="7" t="s">
        <v>112</v>
      </c>
      <c r="K5" s="7" t="s">
        <v>67</v>
      </c>
      <c r="L5" s="7" t="s">
        <v>113</v>
      </c>
      <c r="M5" s="7" t="s">
        <v>114</v>
      </c>
      <c r="N5" s="7" t="s">
        <v>115</v>
      </c>
      <c r="O5" s="7" t="s">
        <v>116</v>
      </c>
      <c r="P5" s="7" t="s">
        <v>117</v>
      </c>
      <c r="Q5" s="7" t="s">
        <v>118</v>
      </c>
      <c r="R5" s="7" t="s">
        <v>119</v>
      </c>
      <c r="S5" s="7" t="s">
        <v>120</v>
      </c>
      <c r="T5" s="7" t="s">
        <v>76</v>
      </c>
      <c r="U5" s="7" t="s">
        <v>77</v>
      </c>
    </row>
    <row r="6" spans="1:21" ht="60.75">
      <c r="A6" s="7" t="s">
        <v>121</v>
      </c>
      <c r="B6" s="7" t="s">
        <v>122</v>
      </c>
      <c r="C6" s="7" t="s">
        <v>123</v>
      </c>
      <c r="D6" s="7" t="s">
        <v>124</v>
      </c>
      <c r="E6" s="7" t="s">
        <v>125</v>
      </c>
      <c r="F6" s="7" t="s">
        <v>126</v>
      </c>
      <c r="G6" s="7" t="s">
        <v>127</v>
      </c>
      <c r="H6" s="7" t="s">
        <v>128</v>
      </c>
      <c r="I6" s="7" t="s">
        <v>129</v>
      </c>
      <c r="J6" s="7" t="s">
        <v>130</v>
      </c>
      <c r="K6" s="7" t="s">
        <v>67</v>
      </c>
      <c r="L6" s="7" t="s">
        <v>131</v>
      </c>
      <c r="M6" s="7" t="s">
        <v>132</v>
      </c>
      <c r="N6" s="7" t="s">
        <v>133</v>
      </c>
      <c r="O6" s="7" t="s">
        <v>134</v>
      </c>
      <c r="P6" s="7" t="s">
        <v>135</v>
      </c>
      <c r="Q6" s="7" t="s">
        <v>136</v>
      </c>
      <c r="R6" s="7" t="s">
        <v>74</v>
      </c>
      <c r="S6" s="7" t="s">
        <v>137</v>
      </c>
      <c r="T6" s="7" t="s">
        <v>138</v>
      </c>
      <c r="U6" s="7" t="s">
        <v>139</v>
      </c>
    </row>
    <row r="7" spans="1:21" ht="45.75">
      <c r="A7" s="7" t="s">
        <v>140</v>
      </c>
      <c r="B7" s="7" t="s">
        <v>141</v>
      </c>
      <c r="C7" s="7" t="s">
        <v>59</v>
      </c>
      <c r="D7" s="7" t="s">
        <v>142</v>
      </c>
      <c r="E7" s="7" t="s">
        <v>143</v>
      </c>
      <c r="F7" s="7" t="s">
        <v>144</v>
      </c>
      <c r="G7" s="7" t="s">
        <v>63</v>
      </c>
      <c r="H7" s="7" t="s">
        <v>145</v>
      </c>
      <c r="I7" s="7" t="s">
        <v>146</v>
      </c>
      <c r="J7" s="7" t="s">
        <v>147</v>
      </c>
      <c r="K7" s="7" t="s">
        <v>67</v>
      </c>
      <c r="L7" s="7" t="s">
        <v>148</v>
      </c>
      <c r="M7" s="7" t="s">
        <v>149</v>
      </c>
      <c r="N7" s="7" t="s">
        <v>150</v>
      </c>
      <c r="O7" s="7" t="s">
        <v>151</v>
      </c>
      <c r="P7" s="7" t="s">
        <v>152</v>
      </c>
      <c r="Q7" s="7" t="s">
        <v>73</v>
      </c>
      <c r="R7" s="7" t="s">
        <v>74</v>
      </c>
      <c r="S7" s="7" t="s">
        <v>153</v>
      </c>
      <c r="T7" s="7" t="s">
        <v>76</v>
      </c>
      <c r="U7" s="7" t="s">
        <v>77</v>
      </c>
    </row>
    <row r="8" spans="1:21" ht="60.75">
      <c r="A8" s="7" t="s">
        <v>154</v>
      </c>
      <c r="B8" s="7" t="s">
        <v>155</v>
      </c>
      <c r="C8" s="7" t="s">
        <v>156</v>
      </c>
      <c r="D8" s="7" t="s">
        <v>157</v>
      </c>
      <c r="E8" s="7" t="s">
        <v>158</v>
      </c>
      <c r="F8" s="7" t="s">
        <v>62</v>
      </c>
      <c r="G8" s="7" t="s">
        <v>159</v>
      </c>
      <c r="H8" s="7" t="s">
        <v>160</v>
      </c>
      <c r="I8" s="7" t="s">
        <v>161</v>
      </c>
      <c r="J8" s="7" t="s">
        <v>162</v>
      </c>
      <c r="K8" s="7" t="s">
        <v>67</v>
      </c>
      <c r="L8" s="7" t="s">
        <v>163</v>
      </c>
      <c r="M8" s="7" t="s">
        <v>164</v>
      </c>
      <c r="N8" s="7" t="s">
        <v>165</v>
      </c>
      <c r="O8" s="7" t="s">
        <v>166</v>
      </c>
      <c r="P8" s="7" t="s">
        <v>167</v>
      </c>
      <c r="Q8" s="7" t="s">
        <v>168</v>
      </c>
      <c r="R8" s="7" t="s">
        <v>169</v>
      </c>
      <c r="S8" s="7" t="s">
        <v>170</v>
      </c>
      <c r="T8" s="7" t="s">
        <v>171</v>
      </c>
      <c r="U8" s="7" t="s">
        <v>172</v>
      </c>
    </row>
    <row r="9" spans="1:21" ht="60.75">
      <c r="A9" s="7" t="s">
        <v>173</v>
      </c>
      <c r="B9" s="7" t="s">
        <v>174</v>
      </c>
      <c r="C9" s="7" t="s">
        <v>175</v>
      </c>
      <c r="D9" s="7" t="s">
        <v>176</v>
      </c>
      <c r="E9" s="7" t="s">
        <v>177</v>
      </c>
      <c r="F9" s="7" t="s">
        <v>178</v>
      </c>
      <c r="G9" s="7" t="s">
        <v>179</v>
      </c>
      <c r="H9" s="7" t="s">
        <v>180</v>
      </c>
      <c r="I9" s="7" t="s">
        <v>181</v>
      </c>
      <c r="J9" s="7" t="s">
        <v>182</v>
      </c>
      <c r="K9" s="7" t="s">
        <v>97</v>
      </c>
      <c r="L9" s="7" t="s">
        <v>183</v>
      </c>
      <c r="M9" s="7" t="s">
        <v>184</v>
      </c>
      <c r="N9" s="7" t="s">
        <v>185</v>
      </c>
      <c r="O9" s="7" t="s">
        <v>186</v>
      </c>
      <c r="P9" s="7" t="s">
        <v>187</v>
      </c>
      <c r="Q9" s="7" t="s">
        <v>136</v>
      </c>
      <c r="R9" s="7" t="s">
        <v>119</v>
      </c>
      <c r="S9" s="7" t="s">
        <v>188</v>
      </c>
      <c r="T9" s="7" t="s">
        <v>189</v>
      </c>
      <c r="U9" s="7" t="s">
        <v>190</v>
      </c>
    </row>
    <row r="10" spans="1:21" ht="45.75">
      <c r="A10" s="7" t="s">
        <v>191</v>
      </c>
      <c r="B10" s="7" t="s">
        <v>192</v>
      </c>
      <c r="C10" s="7" t="s">
        <v>193</v>
      </c>
      <c r="D10" s="7" t="s">
        <v>194</v>
      </c>
      <c r="E10" s="7" t="s">
        <v>195</v>
      </c>
      <c r="F10" s="7" t="s">
        <v>62</v>
      </c>
      <c r="G10" s="7" t="s">
        <v>196</v>
      </c>
      <c r="H10" s="7" t="s">
        <v>197</v>
      </c>
      <c r="I10" s="7" t="s">
        <v>198</v>
      </c>
      <c r="J10" s="7" t="s">
        <v>199</v>
      </c>
      <c r="K10" s="7" t="s">
        <v>67</v>
      </c>
      <c r="L10" s="7" t="s">
        <v>200</v>
      </c>
      <c r="M10" s="7" t="s">
        <v>201</v>
      </c>
      <c r="N10" s="7" t="s">
        <v>202</v>
      </c>
      <c r="O10" s="7" t="s">
        <v>203</v>
      </c>
      <c r="P10" s="7" t="s">
        <v>204</v>
      </c>
      <c r="Q10" s="7" t="s">
        <v>205</v>
      </c>
      <c r="R10" s="7" t="s">
        <v>206</v>
      </c>
      <c r="S10" s="7" t="s">
        <v>207</v>
      </c>
      <c r="T10" s="7" t="s">
        <v>208</v>
      </c>
      <c r="U10" s="7" t="s">
        <v>209</v>
      </c>
    </row>
    <row r="11" spans="1:21" ht="45.75">
      <c r="A11" s="7" t="s">
        <v>210</v>
      </c>
      <c r="B11" s="7" t="s">
        <v>211</v>
      </c>
      <c r="C11" s="7" t="s">
        <v>212</v>
      </c>
      <c r="D11" s="7" t="s">
        <v>213</v>
      </c>
      <c r="E11" s="7" t="s">
        <v>214</v>
      </c>
      <c r="F11" s="7" t="s">
        <v>62</v>
      </c>
      <c r="G11" s="7" t="s">
        <v>215</v>
      </c>
      <c r="H11" s="7" t="s">
        <v>216</v>
      </c>
      <c r="I11" s="7" t="s">
        <v>217</v>
      </c>
      <c r="J11" s="7" t="s">
        <v>218</v>
      </c>
      <c r="K11" s="7" t="s">
        <v>219</v>
      </c>
      <c r="L11" s="7" t="s">
        <v>220</v>
      </c>
      <c r="M11" s="7" t="s">
        <v>221</v>
      </c>
      <c r="N11" s="7" t="s">
        <v>222</v>
      </c>
      <c r="O11" s="7" t="s">
        <v>223</v>
      </c>
      <c r="P11" s="7" t="s">
        <v>224</v>
      </c>
      <c r="Q11" s="7" t="s">
        <v>225</v>
      </c>
      <c r="R11" s="7" t="s">
        <v>226</v>
      </c>
      <c r="S11" s="7" t="s">
        <v>227</v>
      </c>
      <c r="T11" s="7" t="s">
        <v>228</v>
      </c>
      <c r="U11" s="7" t="s">
        <v>229</v>
      </c>
    </row>
    <row r="12" spans="1:21" ht="60.75">
      <c r="A12" s="7" t="s">
        <v>230</v>
      </c>
      <c r="B12" s="7" t="s">
        <v>231</v>
      </c>
      <c r="C12" s="7" t="s">
        <v>232</v>
      </c>
      <c r="D12" s="7" t="s">
        <v>233</v>
      </c>
      <c r="E12" s="7" t="s">
        <v>234</v>
      </c>
      <c r="F12" s="7" t="s">
        <v>235</v>
      </c>
      <c r="G12" s="7" t="s">
        <v>236</v>
      </c>
      <c r="H12" s="7" t="s">
        <v>237</v>
      </c>
      <c r="I12" s="7" t="s">
        <v>238</v>
      </c>
      <c r="J12" s="7" t="s">
        <v>239</v>
      </c>
      <c r="K12" s="7" t="s">
        <v>67</v>
      </c>
      <c r="L12" s="7" t="s">
        <v>240</v>
      </c>
      <c r="M12" s="7" t="s">
        <v>241</v>
      </c>
      <c r="N12" s="7" t="s">
        <v>242</v>
      </c>
      <c r="O12" s="7" t="s">
        <v>243</v>
      </c>
      <c r="P12" s="7" t="s">
        <v>244</v>
      </c>
      <c r="Q12" s="7" t="s">
        <v>245</v>
      </c>
      <c r="R12" s="7" t="s">
        <v>246</v>
      </c>
      <c r="S12" s="7" t="s">
        <v>247</v>
      </c>
      <c r="T12" s="7" t="s">
        <v>248</v>
      </c>
      <c r="U12" s="7" t="s">
        <v>249</v>
      </c>
    </row>
    <row r="13" spans="1:21" ht="45.75">
      <c r="A13" s="7" t="s">
        <v>250</v>
      </c>
      <c r="B13" s="7" t="s">
        <v>251</v>
      </c>
      <c r="C13" s="7" t="s">
        <v>252</v>
      </c>
      <c r="D13" s="7" t="s">
        <v>253</v>
      </c>
      <c r="E13" s="7" t="s">
        <v>254</v>
      </c>
      <c r="F13" s="7" t="s">
        <v>62</v>
      </c>
      <c r="G13" s="7" t="s">
        <v>255</v>
      </c>
      <c r="H13" s="7" t="s">
        <v>256</v>
      </c>
      <c r="I13" s="7" t="s">
        <v>257</v>
      </c>
      <c r="J13" s="7" t="s">
        <v>258</v>
      </c>
      <c r="K13" s="7" t="s">
        <v>259</v>
      </c>
      <c r="L13" s="7" t="s">
        <v>260</v>
      </c>
      <c r="M13" s="7" t="s">
        <v>261</v>
      </c>
      <c r="N13" s="7" t="s">
        <v>262</v>
      </c>
      <c r="O13" s="7" t="s">
        <v>263</v>
      </c>
      <c r="P13" s="7" t="s">
        <v>264</v>
      </c>
      <c r="Q13" s="7" t="s">
        <v>265</v>
      </c>
      <c r="R13" s="7" t="s">
        <v>266</v>
      </c>
      <c r="S13" s="7" t="s">
        <v>267</v>
      </c>
      <c r="T13" s="7" t="s">
        <v>268</v>
      </c>
      <c r="U13" s="7" t="s">
        <v>269</v>
      </c>
    </row>
    <row r="14" spans="1:21" ht="76.5">
      <c r="A14" s="7" t="s">
        <v>270</v>
      </c>
      <c r="B14" s="7" t="s">
        <v>271</v>
      </c>
      <c r="C14" s="7" t="s">
        <v>272</v>
      </c>
      <c r="D14" s="7" t="s">
        <v>273</v>
      </c>
      <c r="E14" s="7" t="s">
        <v>274</v>
      </c>
      <c r="F14" s="7" t="s">
        <v>62</v>
      </c>
      <c r="G14" s="7" t="s">
        <v>275</v>
      </c>
      <c r="H14" s="7" t="s">
        <v>276</v>
      </c>
      <c r="I14" s="7" t="s">
        <v>277</v>
      </c>
      <c r="J14" s="7" t="s">
        <v>278</v>
      </c>
      <c r="K14" s="7" t="s">
        <v>279</v>
      </c>
      <c r="L14" s="7" t="s">
        <v>280</v>
      </c>
      <c r="M14" s="7" t="s">
        <v>281</v>
      </c>
      <c r="N14" s="7" t="s">
        <v>282</v>
      </c>
      <c r="O14" s="7" t="s">
        <v>283</v>
      </c>
      <c r="P14" s="7" t="s">
        <v>284</v>
      </c>
      <c r="Q14" s="7" t="s">
        <v>285</v>
      </c>
      <c r="R14" s="7" t="s">
        <v>286</v>
      </c>
      <c r="S14" s="7" t="s">
        <v>287</v>
      </c>
      <c r="T14" s="7" t="s">
        <v>288</v>
      </c>
      <c r="U14" s="7" t="s">
        <v>289</v>
      </c>
    </row>
    <row r="15" spans="1:21" ht="45.75">
      <c r="A15" s="7" t="s">
        <v>290</v>
      </c>
      <c r="B15" s="7" t="s">
        <v>291</v>
      </c>
      <c r="C15" s="7" t="s">
        <v>292</v>
      </c>
      <c r="D15" s="7" t="s">
        <v>293</v>
      </c>
      <c r="E15" s="7" t="s">
        <v>294</v>
      </c>
      <c r="F15" s="7" t="s">
        <v>62</v>
      </c>
      <c r="G15" s="7" t="s">
        <v>295</v>
      </c>
      <c r="H15" s="7" t="s">
        <v>296</v>
      </c>
      <c r="I15" s="7" t="s">
        <v>297</v>
      </c>
      <c r="J15" s="7" t="s">
        <v>298</v>
      </c>
      <c r="K15" s="7" t="s">
        <v>299</v>
      </c>
      <c r="L15" s="7" t="s">
        <v>300</v>
      </c>
      <c r="M15" s="7" t="s">
        <v>301</v>
      </c>
      <c r="N15" s="7" t="s">
        <v>302</v>
      </c>
      <c r="O15" s="7" t="s">
        <v>303</v>
      </c>
      <c r="P15" s="7" t="s">
        <v>304</v>
      </c>
      <c r="Q15" s="7" t="s">
        <v>136</v>
      </c>
      <c r="R15" s="7" t="s">
        <v>286</v>
      </c>
      <c r="S15" s="7" t="s">
        <v>305</v>
      </c>
      <c r="T15" s="7" t="s">
        <v>306</v>
      </c>
      <c r="U15" s="7" t="s">
        <v>307</v>
      </c>
    </row>
    <row r="16" spans="1:21" ht="45.75">
      <c r="A16" s="7" t="s">
        <v>308</v>
      </c>
      <c r="B16" s="7" t="s">
        <v>309</v>
      </c>
      <c r="C16" s="7" t="s">
        <v>310</v>
      </c>
      <c r="D16" s="7" t="s">
        <v>311</v>
      </c>
      <c r="E16" s="7" t="s">
        <v>312</v>
      </c>
      <c r="F16" s="7" t="s">
        <v>62</v>
      </c>
      <c r="G16" s="7" t="s">
        <v>313</v>
      </c>
      <c r="H16" s="7" t="s">
        <v>314</v>
      </c>
      <c r="I16" s="7" t="s">
        <v>315</v>
      </c>
      <c r="J16" s="7" t="s">
        <v>316</v>
      </c>
      <c r="K16" s="7" t="s">
        <v>67</v>
      </c>
      <c r="L16" s="7" t="s">
        <v>317</v>
      </c>
      <c r="M16" s="7" t="s">
        <v>318</v>
      </c>
      <c r="N16" s="7" t="s">
        <v>319</v>
      </c>
      <c r="O16" s="7" t="s">
        <v>320</v>
      </c>
      <c r="P16" s="7" t="s">
        <v>321</v>
      </c>
      <c r="Q16" s="7" t="s">
        <v>205</v>
      </c>
      <c r="R16" s="7" t="s">
        <v>226</v>
      </c>
      <c r="S16" s="7" t="s">
        <v>322</v>
      </c>
      <c r="T16" s="7" t="s">
        <v>323</v>
      </c>
      <c r="U16" s="7" t="s">
        <v>324</v>
      </c>
    </row>
    <row r="17" spans="1:21" ht="45.75">
      <c r="A17" s="7" t="s">
        <v>325</v>
      </c>
      <c r="B17" s="7" t="s">
        <v>326</v>
      </c>
      <c r="C17" s="7" t="s">
        <v>327</v>
      </c>
      <c r="D17" s="7" t="s">
        <v>328</v>
      </c>
      <c r="E17" s="7" t="s">
        <v>329</v>
      </c>
      <c r="F17" s="7" t="s">
        <v>144</v>
      </c>
      <c r="G17" s="7" t="s">
        <v>330</v>
      </c>
      <c r="H17" s="7" t="s">
        <v>331</v>
      </c>
      <c r="I17" s="7" t="s">
        <v>332</v>
      </c>
      <c r="J17" s="7" t="s">
        <v>333</v>
      </c>
      <c r="K17" s="7" t="s">
        <v>334</v>
      </c>
      <c r="L17" s="7" t="s">
        <v>335</v>
      </c>
      <c r="M17" s="7" t="s">
        <v>336</v>
      </c>
      <c r="N17" s="7" t="s">
        <v>337</v>
      </c>
      <c r="O17" s="7" t="s">
        <v>338</v>
      </c>
      <c r="P17" s="7" t="s">
        <v>339</v>
      </c>
      <c r="Q17" s="7" t="s">
        <v>340</v>
      </c>
      <c r="R17" s="7" t="s">
        <v>341</v>
      </c>
      <c r="S17" s="7" t="s">
        <v>342</v>
      </c>
      <c r="T17" s="7" t="s">
        <v>343</v>
      </c>
      <c r="U17" s="7" t="s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zoomScaleNormal="100" zoomScaleSheetLayoutView="100" workbookViewId="0">
      <selection sqref="A1:B32"/>
    </sheetView>
  </sheetViews>
  <sheetFormatPr defaultRowHeight="15"/>
  <cols>
    <col min="1" max="1" width="28" customWidth="1"/>
    <col min="2" max="2" width="60" customWidth="1"/>
  </cols>
  <sheetData>
    <row r="1" spans="1:2">
      <c r="A1" s="8" t="s">
        <v>345</v>
      </c>
      <c r="B1" s="8" t="s">
        <v>9</v>
      </c>
    </row>
    <row r="2" spans="1:2">
      <c r="A2" s="4" t="s">
        <v>39</v>
      </c>
      <c r="B2" s="4" t="s">
        <v>123</v>
      </c>
    </row>
    <row r="3" spans="1:2">
      <c r="A3" s="4" t="s">
        <v>39</v>
      </c>
      <c r="B3" s="4" t="s">
        <v>175</v>
      </c>
    </row>
    <row r="4" spans="1:2">
      <c r="A4" s="4" t="s">
        <v>39</v>
      </c>
      <c r="B4" s="4" t="s">
        <v>310</v>
      </c>
    </row>
    <row r="5" spans="1:2">
      <c r="A5" s="4" t="s">
        <v>39</v>
      </c>
      <c r="B5" s="4" t="s">
        <v>346</v>
      </c>
    </row>
    <row r="6" spans="1:2">
      <c r="A6" s="4" t="s">
        <v>39</v>
      </c>
      <c r="B6" s="4" t="s">
        <v>347</v>
      </c>
    </row>
    <row r="7" spans="1:2">
      <c r="A7" s="4" t="s">
        <v>39</v>
      </c>
      <c r="B7" s="4" t="s">
        <v>272</v>
      </c>
    </row>
    <row r="8" spans="1:2">
      <c r="A8" s="4" t="s">
        <v>39</v>
      </c>
      <c r="B8" s="4" t="s">
        <v>348</v>
      </c>
    </row>
    <row r="9" spans="1:2">
      <c r="A9" s="4" t="s">
        <v>39</v>
      </c>
      <c r="B9" s="4" t="s">
        <v>349</v>
      </c>
    </row>
    <row r="10" spans="1:2">
      <c r="A10" s="4" t="s">
        <v>42</v>
      </c>
      <c r="B10" s="4" t="s">
        <v>350</v>
      </c>
    </row>
    <row r="11" spans="1:2">
      <c r="A11" s="4" t="s">
        <v>42</v>
      </c>
      <c r="B11" s="4" t="s">
        <v>144</v>
      </c>
    </row>
    <row r="12" spans="1:2">
      <c r="A12" s="4" t="s">
        <v>42</v>
      </c>
      <c r="B12" s="4" t="s">
        <v>62</v>
      </c>
    </row>
    <row r="13" spans="1:2">
      <c r="A13" s="4" t="s">
        <v>42</v>
      </c>
      <c r="B13" s="4" t="s">
        <v>235</v>
      </c>
    </row>
    <row r="14" spans="1:2">
      <c r="A14" s="4" t="s">
        <v>42</v>
      </c>
      <c r="B14" s="4" t="s">
        <v>126</v>
      </c>
    </row>
    <row r="15" spans="1:2">
      <c r="A15" s="4" t="s">
        <v>42</v>
      </c>
      <c r="B15" s="4" t="s">
        <v>178</v>
      </c>
    </row>
    <row r="16" spans="1:2">
      <c r="A16" s="4" t="s">
        <v>351</v>
      </c>
      <c r="B16" s="4" t="s">
        <v>352</v>
      </c>
    </row>
    <row r="17" spans="1:2">
      <c r="A17" s="4" t="s">
        <v>351</v>
      </c>
      <c r="B17" s="4" t="s">
        <v>353</v>
      </c>
    </row>
    <row r="18" spans="1:2">
      <c r="A18" s="4" t="s">
        <v>351</v>
      </c>
      <c r="B18" s="4" t="s">
        <v>354</v>
      </c>
    </row>
    <row r="19" spans="1:2">
      <c r="A19" s="4" t="s">
        <v>351</v>
      </c>
      <c r="B19" s="4" t="s">
        <v>355</v>
      </c>
    </row>
    <row r="20" spans="1:2">
      <c r="A20" s="4" t="s">
        <v>351</v>
      </c>
      <c r="B20" s="4" t="s">
        <v>356</v>
      </c>
    </row>
    <row r="21" spans="1:2">
      <c r="A21" s="4" t="s">
        <v>351</v>
      </c>
      <c r="B21" s="4" t="s">
        <v>357</v>
      </c>
    </row>
    <row r="22" spans="1:2">
      <c r="A22" s="4" t="s">
        <v>351</v>
      </c>
      <c r="B22" s="4" t="s">
        <v>358</v>
      </c>
    </row>
    <row r="23" spans="1:2">
      <c r="A23" s="4" t="s">
        <v>359</v>
      </c>
      <c r="B23" s="4" t="s">
        <v>360</v>
      </c>
    </row>
    <row r="24" spans="1:2">
      <c r="A24" s="4" t="s">
        <v>359</v>
      </c>
      <c r="B24" s="4" t="s">
        <v>361</v>
      </c>
    </row>
    <row r="25" spans="1:2">
      <c r="A25" s="4" t="s">
        <v>359</v>
      </c>
      <c r="B25" s="4" t="s">
        <v>362</v>
      </c>
    </row>
    <row r="26" spans="1:2">
      <c r="A26" s="4" t="s">
        <v>359</v>
      </c>
      <c r="B26" s="4" t="s">
        <v>363</v>
      </c>
    </row>
    <row r="27" spans="1:2">
      <c r="A27" s="4" t="s">
        <v>359</v>
      </c>
      <c r="B27" s="4" t="s">
        <v>364</v>
      </c>
    </row>
    <row r="28" spans="1:2">
      <c r="A28" s="4" t="s">
        <v>359</v>
      </c>
      <c r="B28" s="4" t="s">
        <v>365</v>
      </c>
    </row>
    <row r="29" spans="1:2">
      <c r="A29" s="4" t="s">
        <v>359</v>
      </c>
      <c r="B29" s="4" t="s">
        <v>366</v>
      </c>
    </row>
    <row r="30" spans="1:2">
      <c r="A30" s="4" t="s">
        <v>359</v>
      </c>
      <c r="B30" s="4" t="s">
        <v>367</v>
      </c>
    </row>
    <row r="31" spans="1:2">
      <c r="A31" s="4" t="s">
        <v>359</v>
      </c>
      <c r="B31" s="4" t="s">
        <v>368</v>
      </c>
    </row>
    <row r="32" spans="1:2">
      <c r="A32" s="4" t="s">
        <v>359</v>
      </c>
      <c r="B32" s="4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Normal="100" zoomScaleSheetLayoutView="100" workbookViewId="0">
      <selection sqref="A1:G14"/>
    </sheetView>
  </sheetViews>
  <sheetFormatPr defaultRowHeight="15"/>
  <cols>
    <col min="1" max="1" width="12" customWidth="1"/>
    <col min="2" max="2" width="42" customWidth="1"/>
    <col min="3" max="3" width="24" customWidth="1"/>
    <col min="4" max="4" width="48" customWidth="1"/>
    <col min="5" max="5" width="42" customWidth="1"/>
    <col min="6" max="6" width="24" customWidth="1"/>
    <col min="7" max="7" width="48" customWidth="1"/>
  </cols>
  <sheetData>
    <row r="1" spans="1:7">
      <c r="A1" s="5" t="s">
        <v>370</v>
      </c>
      <c r="B1" s="5" t="s">
        <v>371</v>
      </c>
      <c r="C1" s="5" t="s">
        <v>372</v>
      </c>
      <c r="D1" s="5" t="s">
        <v>373</v>
      </c>
      <c r="E1" s="5" t="s">
        <v>374</v>
      </c>
      <c r="F1" s="5" t="s">
        <v>54</v>
      </c>
      <c r="G1" s="5" t="s">
        <v>11</v>
      </c>
    </row>
    <row r="2" spans="1:7" ht="30.75">
      <c r="A2" s="4" t="s">
        <v>375</v>
      </c>
      <c r="B2" s="4" t="s">
        <v>376</v>
      </c>
      <c r="C2" s="4" t="s">
        <v>377</v>
      </c>
      <c r="D2" s="4" t="s">
        <v>378</v>
      </c>
      <c r="E2" s="4" t="s">
        <v>379</v>
      </c>
      <c r="F2" s="4" t="s">
        <v>352</v>
      </c>
      <c r="G2" s="4" t="s">
        <v>380</v>
      </c>
    </row>
    <row r="3" spans="1:7" ht="30.75">
      <c r="A3" s="4" t="s">
        <v>381</v>
      </c>
      <c r="B3" s="4" t="s">
        <v>382</v>
      </c>
      <c r="C3" s="4" t="s">
        <v>377</v>
      </c>
      <c r="D3" s="4" t="s">
        <v>383</v>
      </c>
      <c r="E3" s="4" t="s">
        <v>384</v>
      </c>
      <c r="F3" s="4" t="s">
        <v>385</v>
      </c>
      <c r="G3" s="4" t="s">
        <v>386</v>
      </c>
    </row>
    <row r="4" spans="1:7" ht="30.75">
      <c r="A4" s="4" t="s">
        <v>387</v>
      </c>
      <c r="B4" s="4" t="s">
        <v>388</v>
      </c>
      <c r="C4" s="4" t="s">
        <v>377</v>
      </c>
      <c r="D4" s="4" t="s">
        <v>389</v>
      </c>
      <c r="E4" s="4" t="s">
        <v>390</v>
      </c>
      <c r="F4" s="4" t="s">
        <v>391</v>
      </c>
      <c r="G4" s="4" t="s">
        <v>392</v>
      </c>
    </row>
    <row r="5" spans="1:7" ht="30.75">
      <c r="A5" s="4" t="s">
        <v>393</v>
      </c>
      <c r="B5" s="4" t="s">
        <v>394</v>
      </c>
      <c r="C5" s="4" t="s">
        <v>377</v>
      </c>
      <c r="D5" s="4" t="s">
        <v>395</v>
      </c>
      <c r="E5" s="4" t="s">
        <v>396</v>
      </c>
      <c r="F5" s="4" t="s">
        <v>266</v>
      </c>
      <c r="G5" s="4" t="s">
        <v>397</v>
      </c>
    </row>
    <row r="6" spans="1:7" ht="30.75">
      <c r="A6" s="4" t="s">
        <v>398</v>
      </c>
      <c r="B6" s="4" t="s">
        <v>399</v>
      </c>
      <c r="C6" s="4" t="s">
        <v>377</v>
      </c>
      <c r="D6" s="4" t="s">
        <v>400</v>
      </c>
      <c r="E6" s="4" t="s">
        <v>401</v>
      </c>
      <c r="F6" s="4" t="s">
        <v>402</v>
      </c>
      <c r="G6" s="4" t="s">
        <v>403</v>
      </c>
    </row>
    <row r="7" spans="1:7" ht="30.75">
      <c r="A7" s="4" t="s">
        <v>404</v>
      </c>
      <c r="B7" s="4" t="s">
        <v>405</v>
      </c>
      <c r="C7" s="4" t="s">
        <v>377</v>
      </c>
      <c r="D7" s="4" t="s">
        <v>406</v>
      </c>
      <c r="E7" s="4" t="s">
        <v>407</v>
      </c>
      <c r="F7" s="4" t="s">
        <v>408</v>
      </c>
      <c r="G7" s="4" t="s">
        <v>409</v>
      </c>
    </row>
    <row r="8" spans="1:7" ht="30.75">
      <c r="A8" s="4" t="s">
        <v>410</v>
      </c>
      <c r="B8" s="4" t="s">
        <v>411</v>
      </c>
      <c r="C8" s="4" t="s">
        <v>412</v>
      </c>
      <c r="D8" s="4" t="s">
        <v>413</v>
      </c>
      <c r="E8" s="4" t="s">
        <v>414</v>
      </c>
      <c r="F8" s="4" t="s">
        <v>353</v>
      </c>
      <c r="G8" s="4" t="s">
        <v>415</v>
      </c>
    </row>
    <row r="9" spans="1:7" ht="30.75">
      <c r="A9" s="4" t="s">
        <v>416</v>
      </c>
      <c r="B9" s="4" t="s">
        <v>417</v>
      </c>
      <c r="C9" s="4" t="s">
        <v>412</v>
      </c>
      <c r="D9" s="4" t="s">
        <v>418</v>
      </c>
      <c r="E9" s="4" t="s">
        <v>396</v>
      </c>
      <c r="F9" s="4" t="s">
        <v>419</v>
      </c>
      <c r="G9" s="4" t="s">
        <v>420</v>
      </c>
    </row>
    <row r="10" spans="1:7" ht="30.75">
      <c r="A10" s="4" t="s">
        <v>421</v>
      </c>
      <c r="B10" s="4" t="s">
        <v>422</v>
      </c>
      <c r="C10" s="4" t="s">
        <v>412</v>
      </c>
      <c r="D10" s="4" t="s">
        <v>423</v>
      </c>
      <c r="E10" s="4" t="s">
        <v>379</v>
      </c>
      <c r="F10" s="4" t="s">
        <v>352</v>
      </c>
      <c r="G10" s="4" t="s">
        <v>424</v>
      </c>
    </row>
    <row r="11" spans="1:7" ht="30.75">
      <c r="A11" s="4" t="s">
        <v>425</v>
      </c>
      <c r="B11" s="4" t="s">
        <v>426</v>
      </c>
      <c r="C11" s="4" t="s">
        <v>412</v>
      </c>
      <c r="D11" s="4" t="s">
        <v>427</v>
      </c>
      <c r="E11" s="4" t="s">
        <v>428</v>
      </c>
      <c r="F11" s="4" t="s">
        <v>419</v>
      </c>
      <c r="G11" s="4" t="s">
        <v>429</v>
      </c>
    </row>
    <row r="12" spans="1:7" ht="30.75">
      <c r="A12" s="4" t="s">
        <v>430</v>
      </c>
      <c r="B12" s="4" t="s">
        <v>431</v>
      </c>
      <c r="C12" s="4" t="s">
        <v>412</v>
      </c>
      <c r="D12" s="4" t="s">
        <v>432</v>
      </c>
      <c r="E12" s="4" t="s">
        <v>433</v>
      </c>
      <c r="F12" s="4" t="s">
        <v>358</v>
      </c>
      <c r="G12" s="4" t="s">
        <v>434</v>
      </c>
    </row>
    <row r="13" spans="1:7" ht="30.75">
      <c r="A13" s="4" t="s">
        <v>435</v>
      </c>
      <c r="B13" s="4" t="s">
        <v>436</v>
      </c>
      <c r="C13" s="4" t="s">
        <v>412</v>
      </c>
      <c r="D13" s="4" t="s">
        <v>437</v>
      </c>
      <c r="E13" s="4" t="s">
        <v>401</v>
      </c>
      <c r="F13" s="4" t="s">
        <v>402</v>
      </c>
      <c r="G13" s="4" t="s">
        <v>438</v>
      </c>
    </row>
    <row r="14" spans="1:7">
      <c r="A14" s="4" t="s">
        <v>439</v>
      </c>
      <c r="B14" s="4" t="s">
        <v>440</v>
      </c>
      <c r="C14" s="4" t="s">
        <v>412</v>
      </c>
      <c r="D14" s="4" t="s">
        <v>441</v>
      </c>
      <c r="E14" s="4" t="s">
        <v>390</v>
      </c>
      <c r="F14" s="4" t="s">
        <v>391</v>
      </c>
      <c r="G14" s="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2026-06-17T17:33:59Z</dcterms:created>
  <dcterms:modified xsi:type="dcterms:W3CDTF">2026-06-17T17:45:07Z</dcterms:modified>
  <cp:category/>
  <cp:contentStatus/>
</cp:coreProperties>
</file>