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869b7d655b441d6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ummary" sheetId="1" r:id="Rd2fef39274084fae"/>
    <x:sheet xmlns:r="http://schemas.openxmlformats.org/officeDocument/2006/relationships" name="Inventory" sheetId="2" r:id="Re9ca3f9a718e446a"/>
    <x:sheet xmlns:r="http://schemas.openxmlformats.org/officeDocument/2006/relationships" name="Reference_Lists" sheetId="3" r:id="R9d99ede357c14afe"/>
    <x:sheet xmlns:r="http://schemas.openxmlformats.org/officeDocument/2006/relationships" name="Evidence_Map" sheetId="4" r:id="Rd4463619aef049ef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4">
    <x:font>
      <x:sz val="11"/>
      <x:name val="Carlito"/>
    </x:font>
    <x:font>
      <x:b/>
      <x:sz val="11"/>
      <x:color rgb="FFFFFFFF"/>
      <x:name val="Carlito"/>
    </x:font>
    <x:font>
      <x:b/>
      <x:sz val="14"/>
      <x:color rgb="FFFFFFFF"/>
      <x:name val="Carlito"/>
    </x:font>
    <x:font>
      <x:b/>
      <x:sz val="11"/>
      <x:color rgb="FF1F4E79"/>
      <x:name val="Carlito"/>
    </x:font>
  </x:fonts>
  <x:fills count="4">
    <x:fill>
      <x:patternFill patternType="none"/>
    </x:fill>
    <x:fill>
      <x:patternFill patternType="gray125"/>
    </x:fill>
    <x:fill>
      <x:patternFill patternType="solid">
        <x:fgColor rgb="FF1F4E79"/>
      </x:patternFill>
    </x:fill>
    <x:fill>
      <x:patternFill patternType="solid">
        <x:fgColor rgb="FFD9EAF7"/>
      </x:patternFill>
    </x:fill>
  </x:fills>
  <x:borders count="2">
    <x:border/>
    <x:border/>
  </x:borders>
  <x:cellStyleXfs count="1">
    <x:xf numFmtId="0" fontId="0" fillId="0" borderId="0"/>
  </x:cellStyleXfs>
  <x:cellXfs count="28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wrapText="1"/>
    </x:xf>
    <x:xf numFmtId="0" fontId="1" fillId="2" borderId="0" xfId="0" applyNumberFormat="1" applyFont="1" applyFill="1" applyBorder="1" applyAlignment="1">
      <x:alignment vertical="center" wrapText="1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wrapText="1"/>
    </x:xf>
    <x:xf numFmtId="0" fontId="1" fillId="2" borderId="1" xfId="0" applyNumberFormat="1" applyFont="1" applyFill="1" applyBorder="1" applyAlignment="1">
      <x:alignment vertical="center" wrapText="1"/>
    </x:xf>
    <x:xf numFmtId="0" fontId="0" fillId="0" borderId="0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vertical="top" wrapText="1"/>
    </x:xf>
    <x:xf numFmtId="0" fontId="0" fillId="0" borderId="1" xfId="0" applyNumberFormat="1" applyFont="1" applyFill="1" applyBorder="1" applyAlignment="1">
      <x:alignment vertical="top" wrapText="1"/>
    </x:xf>
    <x:xf numFmtId="0" fontId="2" fillId="2" borderId="0" xfId="0" applyNumberFormat="1" applyFont="1" applyFill="1" applyBorder="1"/>
    <x:xf numFmtId="0" fontId="2" fillId="2" borderId="0" xfId="0" applyNumberFormat="1" applyFont="1" applyFill="1" applyBorder="1" applyAlignment="1">
      <x:alignment wrapText="1"/>
    </x:xf>
    <x:xf numFmtId="0" fontId="2" fillId="2" borderId="0" xfId="0" applyNumberFormat="1" applyFont="1" applyFill="1" applyBorder="1" applyAlignment="1">
      <x:alignment horizontal="center" wrapText="1"/>
    </x:xf>
    <x:xf numFmtId="0" fontId="2" fillId="2" borderId="1" xfId="0" applyNumberFormat="1" applyFont="1" applyFill="1" applyBorder="1"/>
    <x:xf numFmtId="0" fontId="2" fillId="2" borderId="1" xfId="0" applyNumberFormat="1" applyFont="1" applyFill="1" applyBorder="1" applyAlignment="1">
      <x:alignment wrapText="1"/>
    </x:xf>
    <x:xf numFmtId="0" fontId="2" fillId="2" borderId="1" xfId="0" applyNumberFormat="1" applyFont="1" applyFill="1" applyBorder="1" applyAlignment="1">
      <x:alignment horizontal="center" wrapText="1"/>
    </x:xf>
    <x:xf numFmtId="0" fontId="0" fillId="3" borderId="0" xfId="0" applyNumberFormat="1" applyFont="1" applyFill="1" applyBorder="1"/>
    <x:xf numFmtId="0" fontId="3" fillId="3" borderId="0" xfId="0" applyNumberFormat="1" applyFont="1" applyFill="1" applyBorder="1"/>
    <x:xf numFmtId="0" fontId="3" fillId="3" borderId="0" xfId="0" applyNumberFormat="1" applyFont="1" applyFill="1" applyBorder="1" applyAlignment="1">
      <x:alignment horizontal="center"/>
    </x:xf>
    <x:xf numFmtId="0" fontId="0" fillId="3" borderId="1" xfId="0" applyNumberFormat="1" applyFont="1" applyFill="1" applyBorder="1"/>
    <x:xf numFmtId="0" fontId="3" fillId="3" borderId="1" xfId="0" applyNumberFormat="1" applyFont="1" applyFill="1" applyBorder="1"/>
    <x:xf numFmtId="0" fontId="3" fillId="3" borderId="1" xfId="0" applyNumberFormat="1" applyFont="1" applyFill="1" applyBorder="1" applyAlignment="1">
      <x:alignment horizontal="center"/>
    </x:xf>
    <x:xf numFmtId="0" fontId="3" fillId="3" borderId="0" xfId="0" applyNumberFormat="1" applyFont="1" applyFill="1" applyBorder="1" applyAlignment="1">
      <x:alignment horizontal="center" wrapText="1"/>
    </x:xf>
    <x:xf numFmtId="0" fontId="3" fillId="3" borderId="1" xfId="0" applyNumberFormat="1" applyFont="1" applyFill="1" applyBorder="1" applyAlignment="1">
      <x:alignment horizontal="center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76af4a2622e54dc1" /><Relationship Type="http://schemas.openxmlformats.org/officeDocument/2006/relationships/theme" Target="/xl/theme/theme1.xml" Id="R3981b48544004506" /><Relationship Type="http://schemas.openxmlformats.org/officeDocument/2006/relationships/sharedStrings" Target="/xl/sharedStrings.xml" Id="Rd86b15ef58f049a6" /><Relationship Type="http://schemas.openxmlformats.org/officeDocument/2006/relationships/worksheet" Target="/xl/worksheets/sheet1.xml" Id="Rd2fef39274084fae" /><Relationship Type="http://schemas.openxmlformats.org/officeDocument/2006/relationships/worksheet" Target="/xl/worksheets/sheet2.xml" Id="Re9ca3f9a718e446a" /><Relationship Type="http://schemas.openxmlformats.org/officeDocument/2006/relationships/worksheet" Target="/xl/worksheets/sheet3.xml" Id="R9d99ede357c14afe" /><Relationship Type="http://schemas.openxmlformats.org/officeDocument/2006/relationships/worksheet" Target="/xl/worksheets/sheet4.xml" Id="Rd4463619aef049ef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FormatPr defaultRowHeight="15"/>
  <x:cols>
    <x:col min="1" max="1" width="36" hidden="0" customWidth="1"/>
    <x:col min="2" max="2" width="70" hidden="0" customWidth="1"/>
    <x:col min="3" max="3" width="38" hidden="0" customWidth="1"/>
    <x:col min="4" max="4" width="34" hidden="0" customWidth="1"/>
  </x:cols>
  <x:sheetData>
    <x:row r="1">
      <x:c r="A1" s="16" t="str">
        <x:v>Privacy Impact &amp; Data Handling Risk Assessment: Customer-Facing Reservation Platform</x:v>
      </x:c>
      <x:c r="B1" s="16" t="str"/>
      <x:c r="C1" s="16" t="str"/>
      <x:c r="D1" s="16" t="str"/>
    </x:row>
    <x:row r="2">
      <x:c r="A2" s="26" t="str">
        <x:v>Personal Information Inventory Summary</x:v>
      </x:c>
      <x:c r="B2" s="26" t="str"/>
      <x:c r="C2" s="26" t="str"/>
      <x:c r="D2" s="26" t="str"/>
    </x:row>
    <x:row r="3">
      <x:c r="A3" s="10" t="str">
        <x:v>Purpose</x:v>
      </x:c>
      <x:c r="B3" s="10" t="str">
        <x:v>Document personal information elements, workflows, collection purposes, use, storage, access roles, third-party sharing, safeguards, retention/deletion considerations, PIPEDA principle mapping, related findings, and evidence references.</x:v>
      </x:c>
      <x:c r="C3" s="10" t="str"/>
      <x:c r="D3" s="10" t="str"/>
    </x:row>
    <x:row r="4">
      <x:c r="A4" s="10" t="str">
        <x:v>Scope Note</x:v>
      </x:c>
      <x:c r="B4" s="10" t="str">
        <x:v>This workbook is based on sanitized ITGC project evidence and is not a compliance certification, official PIA, or formal legal opinion.</x:v>
      </x:c>
      <x:c r="C4" s="10" t="str"/>
      <x:c r="D4" s="10" t="str"/>
    </x:row>
    <x:row r="5">
      <x:c r="A5" s="10" t="str">
        <x:v>Generated Date</x:v>
      </x:c>
      <x:c r="B5" s="10" t="str">
        <x:v>2026-06-17</x:v>
      </x:c>
      <x:c r="C5" s="10" t="str"/>
      <x:c r="D5" s="10" t="str"/>
    </x:row>
    <x:row r="6">
      <x:c r="A6" s="10" t="str"/>
      <x:c r="B6" s="10" t="str"/>
      <x:c r="C6" s="10" t="str"/>
      <x:c r="D6" s="10" t="str"/>
    </x:row>
    <x:row r="7">
      <x:c r="A7" s="4" t="str">
        <x:v>Metric</x:v>
      </x:c>
      <x:c r="B7" s="4" t="str">
        <x:v>Value</x:v>
      </x:c>
      <x:c r="C7" s="4" t="str">
        <x:v>Basis</x:v>
      </x:c>
      <x:c r="D7" s="4" t="str">
        <x:v>Notes</x:v>
      </x:c>
    </x:row>
    <x:row r="8">
      <x:c r="A8" s="10" t="str">
        <x:v>Total Inventory Records</x:v>
      </x:c>
      <x:c r="B8" s="10" t="n">
        <x:f>COUNTA(Inventory!A2:A17)</x:f>
        <x:v>16</x:v>
      </x:c>
      <x:c r="C8" s="10" t="str">
        <x:v>Count of populated Data Element IDs</x:v>
      </x:c>
      <x:c r="D8" s="10" t="str">
        <x:v>Expected: 16</x:v>
      </x:c>
    </x:row>
    <x:row r="9">
      <x:c r="A9" s="10" t="str">
        <x:v>High Sensitivity Records</x:v>
      </x:c>
      <x:c r="B9" s="10" t="n">
        <x:f>COUNTIF(Inventory!F2:F17,"High")</x:f>
        <x:v>1</x:v>
      </x:c>
      <x:c r="C9" s="10" t="str">
        <x:v>Sensitivity Level equals High</x:v>
      </x:c>
      <x:c r="D9" s="10" t="str">
        <x:v>Address is marked High</x:v>
      </x:c>
    </x:row>
    <x:row r="10">
      <x:c r="A10" s="10" t="str">
        <x:v>Variable Sensitivity Records</x:v>
      </x:c>
      <x:c r="B10" s="10" t="n">
        <x:f>COUNTIF(Inventory!F2:F17,"Variable")</x:f>
        <x:v>1</x:v>
      </x:c>
      <x:c r="C10" s="10" t="str">
        <x:v>Sensitivity Level equals Variable</x:v>
      </x:c>
      <x:c r="D10" s="10" t="str">
        <x:v>Free-text contact message content</x:v>
      </x:c>
    </x:row>
    <x:row r="11">
      <x:c r="A11" s="10" t="str">
        <x:v>Records Linked to Stripe</x:v>
      </x:c>
      <x:c r="B11" s="10" t="n">
        <x:f>COUNTIF(Inventory!L2:L17,"*Stripe*")</x:f>
        <x:v>0</x:v>
      </x:c>
      <x:c r="C11" s="10" t="str">
        <x:v>Third-Party Sharing mentions Stripe</x:v>
      </x:c>
      <x:c r="D11" s="10" t="str">
        <x:v>Payment-related boundary</x:v>
      </x:c>
    </x:row>
    <x:row r="12">
      <x:c r="A12" s="10" t="str">
        <x:v>Records With PF-005 Retention Relevance</x:v>
      </x:c>
      <x:c r="B12" s="10" t="n">
        <x:f>COUNTIF(Inventory!R2:R17,"*PF-005*")</x:f>
        <x:v>0</x:v>
      </x:c>
      <x:c r="C12" s="10" t="str">
        <x:v>Related Finding ID includes PF-005</x:v>
      </x:c>
      <x:c r="D12" s="10" t="str">
        <x:v>Retention and deletion</x:v>
      </x:c>
    </x:row>
    <x:row r="13">
      <x:c r="A13" s="10" t="str">
        <x:v>Records With PF-002 Access Relevance</x:v>
      </x:c>
      <x:c r="B13" s="10" t="n">
        <x:f>COUNTIF(Inventory!R2:R17,"*PF-002*")</x:f>
        <x:v>0</x:v>
      </x:c>
      <x:c r="C13" s="10" t="str">
        <x:v>Related Finding ID includes PF-002</x:v>
      </x:c>
      <x:c r="D13" s="10" t="str">
        <x:v>RBAC/access limitation</x:v>
      </x:c>
    </x:row>
    <x:row r="14">
      <x:c r="A14" s="10" t="str">
        <x:v>Records With PF-003 Logging Relevance</x:v>
      </x:c>
      <x:c r="B14" s="10" t="n">
        <x:f>COUNTIF(Inventory!R2:R17,"*PF-003*")</x:f>
        <x:v>0</x:v>
      </x:c>
      <x:c r="C14" s="10" t="str">
        <x:v>Related Finding ID includes PF-003</x:v>
      </x:c>
      <x:c r="D14" s="10" t="str">
        <x:v>Limited logging</x:v>
      </x:c>
    </x:row>
    <x:row r="15">
      <x:c r="A15" s="10" t="str">
        <x:v>Main Data Sources Used</x:v>
      </x:c>
      <x:c r="B15" s="10" t="str">
        <x:v>ITGC Project Charter, Data Flow, Access Control Analysis, Testing Workpapers, Walkthrough Documentation, Executive Summary, and sanitized evidence screenshots.</x:v>
      </x:c>
      <x:c r="C15" s="10" t="str"/>
      <x:c r="D15" s="10" t="str"/>
    </x:row>
    <x:row r="16">
      <x:c r="A16" s="10" t="str">
        <x:v>Control Boundary</x:v>
      </x:c>
      <x:c r="B16" s="10" t="str">
        <x:v>Payment card data is processed externally through Stripe hosted checkout. This workbook does not claim that Stripe was audited or that the application is compliant with any privacy law.</x:v>
      </x:c>
      <x:c r="C16" s="10" t="str"/>
      <x:c r="D16" s="10" t="str"/>
    </x:row>
  </x:sheetData>
  <x:mergeCells>
    <x:mergeCell ref="A1:D1"/>
    <x:mergeCell ref="A2:D2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defaultRowHeight="15"/>
  <x:cols>
    <x:col min="1" max="1" width="14" hidden="0" customWidth="1"/>
    <x:col min="2" max="2" width="22" hidden="0" customWidth="1"/>
    <x:col min="3" max="3" width="30" hidden="0" customWidth="1"/>
    <x:col min="4" max="4" width="38" hidden="0" customWidth="1"/>
    <x:col min="5" max="5" width="22" hidden="0" customWidth="1"/>
    <x:col min="6" max="6" width="16" hidden="0" customWidth="1"/>
    <x:col min="7" max="7" width="36" hidden="0" customWidth="1"/>
    <x:col min="8" max="8" width="42" hidden="0" customWidth="1"/>
    <x:col min="9" max="9" width="42" hidden="0" customWidth="1"/>
    <x:col min="10" max="10" width="38" hidden="0" customWidth="1"/>
    <x:col min="11" max="11" width="38" hidden="0" customWidth="1"/>
    <x:col min="12" max="12" width="38" hidden="0" customWidth="1"/>
    <x:col min="13" max="13" width="48" hidden="0" customWidth="1"/>
    <x:col min="14" max="14" width="42" hidden="0" customWidth="1"/>
    <x:col min="15" max="15" width="38" hidden="0" customWidth="1"/>
    <x:col min="16" max="16" width="42" hidden="0" customWidth="1"/>
    <x:col min="17" max="17" width="48" hidden="0" customWidth="1"/>
    <x:col min="18" max="18" width="22" hidden="0" customWidth="1"/>
    <x:col min="19" max="19" width="52" hidden="0" customWidth="1"/>
    <x:col min="20" max="20" width="38" hidden="0" customWidth="1"/>
    <x:col min="21" max="21" width="30" hidden="0" customWidth="1"/>
  </x:cols>
  <x:sheetData>
    <x:row r="1">
      <x:c r="A1" s="5" t="str">
        <x:v>Data Element ID</x:v>
      </x:c>
      <x:c r="B1" s="5" t="str">
        <x:v>Data Element</x:v>
      </x:c>
      <x:c r="C1" s="5" t="str">
        <x:v>Workflow</x:v>
      </x:c>
      <x:c r="D1" s="5" t="str">
        <x:v>Example / Description</x:v>
      </x:c>
      <x:c r="E1" s="5" t="str">
        <x:v>Category</x:v>
      </x:c>
      <x:c r="F1" s="5" t="str">
        <x:v>Sensitivity Level</x:v>
      </x:c>
      <x:c r="G1" s="5" t="str">
        <x:v>Source / Collection Point</x:v>
      </x:c>
      <x:c r="H1" s="5" t="str">
        <x:v>Purpose of Collection</x:v>
      </x:c>
      <x:c r="I1" s="5" t="str">
        <x:v>Use</x:v>
      </x:c>
      <x:c r="J1" s="5" t="str">
        <x:v>Storage Location</x:v>
      </x:c>
      <x:c r="K1" s="5" t="str">
        <x:v>Access Role</x:v>
      </x:c>
      <x:c r="L1" s="5" t="str">
        <x:v>Third-Party Sharing</x:v>
      </x:c>
      <x:c r="M1" s="5" t="str">
        <x:v>Safeguards / Controls Considered</x:v>
      </x:c>
      <x:c r="N1" s="5" t="str">
        <x:v>Retention Consideration</x:v>
      </x:c>
      <x:c r="O1" s="5" t="str">
        <x:v>Deletion Trigger</x:v>
      </x:c>
      <x:c r="P1" s="5" t="str">
        <x:v>Consent Consideration</x:v>
      </x:c>
      <x:c r="Q1" s="5" t="str">
        <x:v>Relevant PIPEDA Principle</x:v>
      </x:c>
      <x:c r="R1" s="5" t="str">
        <x:v>Related Finding ID</x:v>
      </x:c>
      <x:c r="S1" s="5" t="str">
        <x:v>Risk Notes</x:v>
      </x:c>
      <x:c r="T1" s="5" t="str">
        <x:v>Evidence Reference</x:v>
      </x:c>
      <x:c r="U1" s="5" t="str">
        <x:v>Basis</x:v>
      </x:c>
    </x:row>
    <x:row r="2">
      <x:c r="A2" s="12" t="str">
        <x:v>PI-001</x:v>
      </x:c>
      <x:c r="B2" s="12" t="str">
        <x:v>First name</x:v>
      </x:c>
      <x:c r="C2" s="12" t="str">
        <x:v>Checkout / Reservation Workflow; Contact Form Workflow</x:v>
      </x:c>
      <x:c r="D2" s="12" t="str">
        <x:v>Customer first name submitted through checkout or contact form.</x:v>
      </x:c>
      <x:c r="E2" s="12" t="str">
        <x:v>Direct Identifier</x:v>
      </x:c>
      <x:c r="F2" s="12" t="str">
        <x:v>Medium</x:v>
      </x:c>
      <x:c r="G2" s="12" t="str">
        <x:v>Checkout form; contact form; backend routes /save-checkout-info and /contact</x:v>
      </x:c>
      <x:c r="H2" s="12" t="str">
        <x:v>Identify the customer for booking, payment-related follow-up, contact response, and operational recordkeeping.</x:v>
      </x:c>
      <x:c r="I2" s="12" t="str">
        <x:v>Used to create or update reservation, contact, order, and customer-facing communication records.</x:v>
      </x:c>
      <x:c r="J2" s="12" t="str">
        <x:v>MongoDB collections: infos, contacts, orders, reservations as applicable; admin/internal views; possible email records.</x:v>
      </x:c>
      <x:c r="K2" s="12" t="str">
        <x:v>Business Owner; Admin/Internal User; Application Owner; Developer/Technical Support with broad system access.</x:v>
      </x:c>
      <x:c r="L2" s="12" t="str">
        <x:v>May be included in Stripe payment metadata and Gmail SMTP communications; processed within hosting/database environment.</x:v>
      </x:c>
      <x:c r="M2" s="12" t="str">
        <x:v>Field appears stored in plaintext in Info and Contact models; TLS in transit assumed; no enforced authentication/RBAC; limited access logging.</x:v>
      </x:c>
      <x:c r="N2" s="12" t="str">
        <x:v>Retain only while needed for booking management, payment reconciliation, customer communication, or documented business retention purpose.</x:v>
      </x:c>
      <x:c r="O2" s="12" t="str">
        <x:v>Delete or anonymize when reservation/inquiry lifecycle ends and required business retention period expires.</x:v>
      </x:c>
      <x:c r="P2" s="12" t="str">
        <x:v>Customer provides information through checkout/contact workflow; purpose should be clear at collection point.</x:v>
      </x:c>
      <x:c r="Q2" s="12" t="str">
        <x:v>Accountability; Identifying Purposes; Limiting Collection; Safeguards; Limiting Use, Disclosure, and Retention</x:v>
      </x:c>
      <x:c r="R2" s="12" t="str">
        <x:v>PF-001; PF-002; PF-005; PF-006</x:v>
      </x:c>
      <x:c r="S2" s="12" t="str">
        <x:v>Plaintext storage of direct identifier creates a safeguards gap, especially where internal access is broad and retention rules are not documented.</x:v>
      </x:c>
      <x:c r="T2" s="12" t="str">
        <x:v>EV-001; EV-002; T-03 Contact_Model_PII.png; T-03 Info_Model_PII.png</x:v>
      </x:c>
      <x:c r="U2" s="12" t="str">
        <x:v>Sanitized observation from ITGC data flow and model review</x:v>
      </x:c>
    </x:row>
    <x:row r="3">
      <x:c r="A3" s="12" t="str">
        <x:v>PI-002</x:v>
      </x:c>
      <x:c r="B3" s="12" t="str">
        <x:v>Last name</x:v>
      </x:c>
      <x:c r="C3" s="12" t="str">
        <x:v>Checkout / Reservation Workflow; Contact Form Workflow</x:v>
      </x:c>
      <x:c r="D3" s="12" t="str">
        <x:v>Customer last name submitted through checkout or contact form.</x:v>
      </x:c>
      <x:c r="E3" s="12" t="str">
        <x:v>Direct Identifier</x:v>
      </x:c>
      <x:c r="F3" s="12" t="str">
        <x:v>Medium</x:v>
      </x:c>
      <x:c r="G3" s="12" t="str">
        <x:v>Checkout form; contact form; backend routes /save-checkout-info and /contact</x:v>
      </x:c>
      <x:c r="H3" s="12" t="str">
        <x:v>Identify the customer for reservation, order, communication, and operational follow-up.</x:v>
      </x:c>
      <x:c r="I3" s="12" t="str">
        <x:v>Used with first name to manage booking, contact, order, and confirmation activities.</x:v>
      </x:c>
      <x:c r="J3" s="12" t="str">
        <x:v>MongoDB collections: infos, contacts, orders, reservations as applicable; admin/internal views; possible email records.</x:v>
      </x:c>
      <x:c r="K3" s="12" t="str">
        <x:v>Business Owner; Admin/Internal User; Application Owner; Developer/Technical Support with broad system access.</x:v>
      </x:c>
      <x:c r="L3" s="12" t="str">
        <x:v>May be included in Stripe payment metadata and Gmail SMTP communications; processed within hosting/database environment.</x:v>
      </x:c>
      <x:c r="M3" s="12" t="str">
        <x:v>Field appears stored in plaintext in Info and Contact models; no enforced authentication/RBAC; limited access logging.</x:v>
      </x:c>
      <x:c r="N3" s="12" t="str">
        <x:v>Retain only while needed for booking, customer communication, payment reconciliation, or documented business retention purpose.</x:v>
      </x:c>
      <x:c r="O3" s="12" t="str">
        <x:v>Delete or anonymize when operational need ends and retention period expires.</x:v>
      </x:c>
      <x:c r="P3" s="12" t="str">
        <x:v>Customer provides information through checkout/contact workflow; notice and purpose should be clear.</x:v>
      </x:c>
      <x:c r="Q3" s="12" t="str">
        <x:v>Accountability; Identifying Purposes; Limiting Collection; Safeguards; Limiting Use, Disclosure, and Retention</x:v>
      </x:c>
      <x:c r="R3" s="12" t="str">
        <x:v>PF-001; PF-002; PF-005; PF-006</x:v>
      </x:c>
      <x:c r="S3" s="12" t="str">
        <x:v>Plaintext direct identifier requires consistent protection, access limitation, and retention documentation.</x:v>
      </x:c>
      <x:c r="T3" s="12" t="str">
        <x:v>EV-001; EV-002; T-03 Contact_Model_PII.png; T-03 Info_Model_PII.png</x:v>
      </x:c>
      <x:c r="U3" s="12" t="str">
        <x:v>Sanitized observation from ITGC data flow and model review</x:v>
      </x:c>
    </x:row>
    <x:row r="4">
      <x:c r="A4" s="12" t="str">
        <x:v>PI-003</x:v>
      </x:c>
      <x:c r="B4" s="12" t="str">
        <x:v>Email address</x:v>
      </x:c>
      <x:c r="C4" s="12" t="str">
        <x:v>Checkout / Reservation Workflow; Contact Form Workflow; Email Communication Workflow</x:v>
      </x:c>
      <x:c r="D4" s="12" t="str">
        <x:v>Customer email address submitted for booking confirmation, contact response, and payment-related communication.</x:v>
      </x:c>
      <x:c r="E4" s="12" t="str">
        <x:v>Direct Identifier / Contact Information</x:v>
      </x:c>
      <x:c r="F4" s="12" t="str">
        <x:v>Medium</x:v>
      </x:c>
      <x:c r="G4" s="12" t="str">
        <x:v>Checkout form; contact form; email communication workflow; backend routes /save-checkout-info and /contact</x:v>
      </x:c>
      <x:c r="H4" s="12" t="str">
        <x:v>Confirm bookings, respond to inquiries, send transactional emails, and support payment-related communication.</x:v>
      </x:c>
      <x:c r="I4" s="12" t="str">
        <x:v>Used for customer communication, booking confirmation, contact follow-up, and payment/order association.</x:v>
      </x:c>
      <x:c r="J4" s="12" t="str">
        <x:v>MongoDB collections: infos, contacts, orders, reservations as applicable; Gmail SMTP records; Stripe/payment metadata where applicable.</x:v>
      </x:c>
      <x:c r="K4" s="12" t="str">
        <x:v>Business Owner; Admin/Internal User; Application Owner; Developer/Technical Support with broad system access; Founder for Gmail administration.</x:v>
      </x:c>
      <x:c r="L4" s="12" t="str">
        <x:v>Gmail SMTP; Stripe hosted checkout/payment metadata; hosting/database provider.</x:v>
      </x:c>
      <x:c r="M4" s="12" t="str">
        <x:v>Email field is encrypted using AES-256-CBC in reviewed models; however, access control, logging, and retention controls remain limited.</x:v>
      </x:c>
      <x:c r="N4" s="12" t="str">
        <x:v>Retain only while needed for communication, reservation management, payment reconciliation, or documented retention purpose.</x:v>
      </x:c>
      <x:c r="O4" s="12" t="str">
        <x:v>Delete or anonymize when communication purpose ends and retention period expires.</x:v>
      </x:c>
      <x:c r="P4" s="12" t="str">
        <x:v>Customer provides email through checkout/contact workflow; contact and transactional communication purposes should be identified.</x:v>
      </x:c>
      <x:c r="Q4" s="12" t="str">
        <x:v>Accountability; Identifying Purposes; Consent; Safeguards; Limiting Use, Disclosure, and Retention; Openness</x:v>
      </x:c>
      <x:c r="R4" s="12" t="str">
        <x:v>PF-001; PF-002; PF-003; PF-004; PF-005; PF-006</x:v>
      </x:c>
      <x:c r="S4" s="12" t="str">
        <x:v>Although encrypted in reviewed models, email appears across multiple workflows and vendors, requiring consistent access, logging, retention, and evidence traceability.</x:v>
      </x:c>
      <x:c r="T4" s="12" t="str">
        <x:v>EV-001; EV-002; EV-003; T-03 Contact_Model_PII.png; T-03 Info_Model_PII.png</x:v>
      </x:c>
      <x:c r="U4" s="12" t="str">
        <x:v>Sanitized observation from ITGC data flow and model review</x:v>
      </x:c>
    </x:row>
    <x:row r="5">
      <x:c r="A5" s="12" t="str">
        <x:v>PI-004</x:v>
      </x:c>
      <x:c r="B5" s="12" t="str">
        <x:v>Contact number</x:v>
      </x:c>
      <x:c r="C5" s="12" t="str">
        <x:v>Checkout / Reservation Workflow; Contact Form Workflow</x:v>
      </x:c>
      <x:c r="D5" s="12" t="str">
        <x:v>Customer phone number or contact number submitted for booking and communication purposes.</x:v>
      </x:c>
      <x:c r="E5" s="12" t="str">
        <x:v>Direct Identifier / Contact Information</x:v>
      </x:c>
      <x:c r="F5" s="12" t="str">
        <x:v>Medium</x:v>
      </x:c>
      <x:c r="G5" s="12" t="str">
        <x:v>Checkout form; contact form; backend routes /save-checkout-info and /contact</x:v>
      </x:c>
      <x:c r="H5" s="12" t="str">
        <x:v>Support reservation follow-up, customer service, and operational communication.</x:v>
      </x:c>
      <x:c r="I5" s="12" t="str">
        <x:v>Used to contact customer about booking, inquiry, or operational issues.</x:v>
      </x:c>
      <x:c r="J5" s="12" t="str">
        <x:v>MongoDB collections: infos, contacts, orders, reservations as applicable; possible email or admin records.</x:v>
      </x:c>
      <x:c r="K5" s="12" t="str">
        <x:v>Business Owner; Admin/Internal User; Application Owner; Developer/Technical Support with broad system access.</x:v>
      </x:c>
      <x:c r="L5" s="12" t="str">
        <x:v>May be included in Gmail SMTP communications or Stripe/payment metadata depending on workflow; hosted within application/database environment.</x:v>
      </x:c>
      <x:c r="M5" s="12" t="str">
        <x:v>contactNumber field is encrypted using AES-256-CBC in reviewed models; no enforced RBAC; limited access/activity logging.</x:v>
      </x:c>
      <x:c r="N5" s="12" t="str">
        <x:v>Retain only while needed for reservation or inquiry follow-up and documented business purpose.</x:v>
      </x:c>
      <x:c r="O5" s="12" t="str">
        <x:v>Delete or anonymize after communication purpose ends and retention period expires.</x:v>
      </x:c>
      <x:c r="P5" s="12" t="str">
        <x:v>Customer provides phone number through form; collection should be limited to cases where operationally necessary.</x:v>
      </x:c>
      <x:c r="Q5" s="12" t="str">
        <x:v>Accountability; Identifying Purposes; Consent; Limiting Collection; Safeguards; Limiting Use, Disclosure, and Retention</x:v>
      </x:c>
      <x:c r="R5" s="12" t="str">
        <x:v>PF-001; PF-002; PF-003; PF-005; PF-006</x:v>
      </x:c>
      <x:c r="S5" s="12" t="str">
        <x:v>Phone number is protected in reviewed models, but broad internal access and incomplete retention documentation remain privacy-relevant concerns.</x:v>
      </x:c>
      <x:c r="T5" s="12" t="str">
        <x:v>EV-001; EV-002; T-03 Contact_Model_PII.png; T-03 Info_Model_PII.png</x:v>
      </x:c>
      <x:c r="U5" s="12" t="str">
        <x:v>Sanitized observation from ITGC data flow and model review</x:v>
      </x:c>
    </x:row>
    <x:row r="6">
      <x:c r="A6" s="12" t="str">
        <x:v>PI-005</x:v>
      </x:c>
      <x:c r="B6" s="12" t="str">
        <x:v>Address</x:v>
      </x:c>
      <x:c r="C6" s="12" t="str">
        <x:v>Checkout / Reservation Workflow</x:v>
      </x:c>
      <x:c r="D6" s="12" t="str">
        <x:v>Customer address entered during checkout/payment-related workflow.</x:v>
      </x:c>
      <x:c r="E6" s="12" t="str">
        <x:v>Direct Identifier / Location Information</x:v>
      </x:c>
      <x:c r="F6" s="12" t="str">
        <x:v>High</x:v>
      </x:c>
      <x:c r="G6" s="12" t="str">
        <x:v>Checkout form; backend route /save-checkout-info</x:v>
      </x:c>
      <x:c r="H6" s="12" t="str">
        <x:v>Support checkout, order, reservation, payment-related recordkeeping, and operational processing where address is required.</x:v>
      </x:c>
      <x:c r="I6" s="12" t="str">
        <x:v>Used as part of customer/order record and potentially payment-related metadata.</x:v>
      </x:c>
      <x:c r="J6" s="12" t="str">
        <x:v>MongoDB collection: infos and order/reservation records as applicable; admin/internal views.</x:v>
      </x:c>
      <x:c r="K6" s="12" t="str">
        <x:v>Business Owner; Admin/Internal User; Application Owner; Developer/Technical Support with broad system access.</x:v>
      </x:c>
      <x:c r="L6" s="12" t="str">
        <x:v>May be transmitted to Stripe as payment metadata or used in payment-related workflow; hosted within application/database environment.</x:v>
      </x:c>
      <x:c r="M6" s="12" t="str">
        <x:v>Address field appears stored in plaintext in reviewed Info model; no enforced authentication/RBAC; limited access logging.</x:v>
      </x:c>
      <x:c r="N6" s="12" t="str">
        <x:v>Retain only where needed for order/reservation, reconciliation, or documented business retention purpose.</x:v>
      </x:c>
      <x:c r="O6" s="12" t="str">
        <x:v>Delete or anonymize when no longer required for the identified business purpose and retention period expires.</x:v>
      </x:c>
      <x:c r="P6" s="12" t="str">
        <x:v>Customer provides address during checkout; collection necessity should be reviewed because address may not always be required for a class booking.</x:v>
      </x:c>
      <x:c r="Q6" s="12" t="str">
        <x:v>Accountability; Identifying Purposes; Limiting Collection; Safeguards; Limiting Use, Disclosure, and Retention; Openness</x:v>
      </x:c>
      <x:c r="R6" s="12" t="str">
        <x:v>PF-001; PF-002; PF-005; PF-006</x:v>
      </x:c>
      <x:c r="S6" s="12" t="str">
        <x:v>Address is a higher-impact identifier and plaintext storage increases privacy safeguards risk. Collection necessity should be validated against the booking/payment purpose.</x:v>
      </x:c>
      <x:c r="T6" s="12" t="str">
        <x:v>EV-001; EV-002; T-03 Info_Model_PII.png; No_Login_Checkout_Form.png</x:v>
      </x:c>
      <x:c r="U6" s="12" t="str">
        <x:v>Sanitized observation from checkout form and model review</x:v>
      </x:c>
    </x:row>
    <x:row r="7">
      <x:c r="A7" s="12" t="str">
        <x:v>PI-006</x:v>
      </x:c>
      <x:c r="B7" s="12" t="str">
        <x:v>Company information</x:v>
      </x:c>
      <x:c r="C7" s="12" t="str">
        <x:v>Checkout / Reservation Workflow; Contact Form Workflow</x:v>
      </x:c>
      <x:c r="D7" s="12" t="str">
        <x:v>Optional company name submitted by customer.</x:v>
      </x:c>
      <x:c r="E7" s="12" t="str">
        <x:v>Business Contact Information / Potential Identifier</x:v>
      </x:c>
      <x:c r="F7" s="12" t="str">
        <x:v>Low to Medium</x:v>
      </x:c>
      <x:c r="G7" s="12" t="str">
        <x:v>Checkout form; contact form; backend routes /save-checkout-info and /contact</x:v>
      </x:c>
      <x:c r="H7" s="12" t="str">
        <x:v>Support business customer identification, booking context, or contact inquiry handling where applicable.</x:v>
      </x:c>
      <x:c r="I7" s="12" t="str">
        <x:v>Used for operational follow-up or customer context when provided.</x:v>
      </x:c>
      <x:c r="J7" s="12" t="str">
        <x:v>MongoDB collections: infos and contacts as applicable; admin/internal views; possible email records.</x:v>
      </x:c>
      <x:c r="K7" s="12" t="str">
        <x:v>Business Owner; Admin/Internal User; Application Owner; Developer/Technical Support with broad system access.</x:v>
      </x:c>
      <x:c r="L7" s="12" t="str">
        <x:v>May appear in Gmail SMTP communications or payment-related metadata depending on workflow.</x:v>
      </x:c>
      <x:c r="M7" s="12" t="str">
        <x:v>Company field appears stored in plaintext in reviewed models; access control and logging limitations apply.</x:v>
      </x:c>
      <x:c r="N7" s="12" t="str">
        <x:v>Retain only while needed for the relevant inquiry, reservation, or business record purpose.</x:v>
      </x:c>
      <x:c r="O7" s="12" t="str">
        <x:v>Delete or anonymize when operational purpose ends and retention period expires.</x:v>
      </x:c>
      <x:c r="P7" s="12" t="str">
        <x:v>Optional field; collection should remain optional and clearly tied to business context.</x:v>
      </x:c>
      <x:c r="Q7" s="12" t="str">
        <x:v>Accountability; Identifying Purposes; Limiting Collection; Safeguards; Limiting Use, Disclosure, and Retention</x:v>
      </x:c>
      <x:c r="R7" s="12" t="str">
        <x:v>PF-001; PF-002; PF-005; PF-006</x:v>
      </x:c>
      <x:c r="S7" s="12" t="str">
        <x:v>Company information may identify an individual in a small business context. Optional collection should be justified and protected consistently.</x:v>
      </x:c>
      <x:c r="T7" s="12" t="str">
        <x:v>EV-001; EV-002; T-03 Contact_Model_PII.png; T-03 Info_Model_PII.png</x:v>
      </x:c>
      <x:c r="U7" s="12" t="str">
        <x:v>Sanitized observation from ITGC data flow and model review</x:v>
      </x:c>
    </x:row>
    <x:row r="8">
      <x:c r="A8" s="12" t="str">
        <x:v>PI-007</x:v>
      </x:c>
      <x:c r="B8" s="12" t="str">
        <x:v>Reservation details</x:v>
      </x:c>
      <x:c r="C8" s="12" t="str">
        <x:v>Reservation Workflow; Checkout / Payment Workflow</x:v>
      </x:c>
      <x:c r="D8" s="12" t="str">
        <x:v>Class selected, date, time, participant count, temporary or confirmed reservation status, and customer notes if any.</x:v>
      </x:c>
      <x:c r="E8" s="12" t="str">
        <x:v>Transactional / Service Use Information</x:v>
      </x:c>
      <x:c r="F8" s="12" t="str">
        <x:v>Medium</x:v>
      </x:c>
      <x:c r="G8" s="12" t="str">
        <x:v>Class selection, cart, checkout, reservation submission, Stripe webhook confirmation</x:v>
      </x:c>
      <x:c r="H8" s="12" t="str">
        <x:v>Manage booking availability, confirm class participation, connect payment status to reservation, and support customer communication.</x:v>
      </x:c>
      <x:c r="I8" s="12" t="str">
        <x:v>Used to create temporary reservations, confirm reservations after successful payment, update reservation status, and manage operational capacity.</x:v>
      </x:c>
      <x:c r="J8" s="12" t="str">
        <x:v>MongoDB collections: reservations, orders, infos as applicable; admin/internal views; confirmation emails.</x:v>
      </x:c>
      <x:c r="K8" s="12" t="str">
        <x:v>Business Owner; Admin/Internal User; Application Owner; Developer/Technical Support with broad system access.</x:v>
      </x:c>
      <x:c r="L8" s="12" t="str">
        <x:v>Stripe may receive payment-related metadata; Gmail SMTP may transmit confirmation details; hosting/database provider processes stored records.</x:v>
      </x:c>
      <x:c r="M8" s="12" t="str">
        <x:v>No authentication required for booking/checkout; RBAC not enforced; system logs capture some reservation/payment activity but not access/admin actions.</x:v>
      </x:c>
      <x:c r="N8" s="12" t="str">
        <x:v>Retain while needed for class delivery, booking records, payment reconciliation, customer service, and documented business retention purpose.</x:v>
      </x:c>
      <x:c r="O8" s="12" t="str">
        <x:v>Delete or anonymize after class completion, reconciliation, and expiry of documented retention period.</x:v>
      </x:c>
      <x:c r="P8" s="12" t="str">
        <x:v>Customer initiates booking voluntarily; purpose should be identified before data submission.</x:v>
      </x:c>
      <x:c r="Q8" s="12" t="str">
        <x:v>Accountability; Identifying Purposes; Limiting Collection; Safeguards; Limiting Use, Disclosure, and Retention; Accuracy</x:v>
      </x:c>
      <x:c r="R8" s="12" t="str">
        <x:v>PF-002; PF-003; PF-004; PF-005; PF-006; PF-007</x:v>
      </x:c>
      <x:c r="S8" s="12" t="str">
        <x:v>Reservation details link customer identity to activity and payment workflow. Weak access controls, limited logging, and incomplete retention rules create privacy-relevant risk.</x:v>
      </x:c>
      <x:c r="T8" s="12" t="str">
        <x:v>EV-002; Walkthrough_Documentation; Data_Flow; T-01 No_Login_Cart.png</x:v>
      </x:c>
      <x:c r="U8" s="12" t="str">
        <x:v>Sanitized observation from walkthrough, data flow, and testing evidence</x:v>
      </x:c>
    </x:row>
    <x:row r="9">
      <x:c r="A9" s="12" t="str">
        <x:v>PI-008</x:v>
      </x:c>
      <x:c r="B9" s="12" t="str">
        <x:v>Contact message content</x:v>
      </x:c>
      <x:c r="C9" s="12" t="str">
        <x:v>Contact Form Workflow</x:v>
      </x:c>
      <x:c r="D9" s="12" t="str">
        <x:v>Free-text inquiry submitted by customer through contact form.</x:v>
      </x:c>
      <x:c r="E9" s="12" t="str">
        <x:v>Free-Text Communication Content</x:v>
      </x:c>
      <x:c r="F9" s="12" t="str">
        <x:v>Variable</x:v>
      </x:c>
      <x:c r="G9" s="12" t="str">
        <x:v>Contact form; backend route /contact</x:v>
      </x:c>
      <x:c r="H9" s="12" t="str">
        <x:v>Respond to customer inquiry and support customer communication.</x:v>
      </x:c>
      <x:c r="I9" s="12" t="str">
        <x:v>Used by business or operations personnel to understand and respond to inquiry.</x:v>
      </x:c>
      <x:c r="J9" s="12" t="str">
        <x:v>MongoDB collection: contacts; Gmail SMTP records if reply/notification is sent; admin/internal views.</x:v>
      </x:c>
      <x:c r="K9" s="12" t="str">
        <x:v>Business Owner; Admin/Internal User; Application Owner; Developer/Technical Support with broad system access; Founder for Gmail administration.</x:v>
      </x:c>
      <x:c r="L9" s="12" t="str">
        <x:v>Gmail SMTP; hosting/database provider.</x:v>
      </x:c>
      <x:c r="M9" s="12" t="str">
        <x:v>Message field appears stored as plaintext; reCAPTCHA and input checks may exist, but no enforced RBAC and no dedicated access logging.</x:v>
      </x:c>
      <x:c r="N9" s="12" t="str">
        <x:v>Retain only while needed to respond to inquiry and maintain documented business records.</x:v>
      </x:c>
      <x:c r="O9" s="12" t="str">
        <x:v>Delete or anonymize after inquiry is resolved and retention period expires.</x:v>
      </x:c>
      <x:c r="P9" s="12" t="str">
        <x:v>Customer voluntarily submits message; form should discourage unnecessary sensitive information where possible.</x:v>
      </x:c>
      <x:c r="Q9" s="12" t="str">
        <x:v>Accountability; Identifying Purposes; Limiting Collection; Safeguards; Limiting Use, Disclosure, and Retention; Openness</x:v>
      </x:c>
      <x:c r="R9" s="12" t="str">
        <x:v>PF-001; PF-002; PF-003; PF-005; PF-006</x:v>
      </x:c>
      <x:c r="S9" s="12" t="str">
        <x:v>Free-text fields can contain unexpected personal information. Plaintext storage, broad access, and unclear retention increase privacy risk.</x:v>
      </x:c>
      <x:c r="T9" s="12" t="str">
        <x:v>EV-001; EV-002; T-03 Contact_Model_PII.png; Existing_System_Logs.png</x:v>
      </x:c>
      <x:c r="U9" s="12" t="str">
        <x:v>Sanitized observation from contact model and data flow review</x:v>
      </x:c>
    </x:row>
    <x:row r="10">
      <x:c r="A10" s="12" t="str">
        <x:v>PI-009</x:v>
      </x:c>
      <x:c r="B10" s="12" t="str">
        <x:v>Payment status</x:v>
      </x:c>
      <x:c r="C10" s="12" t="str">
        <x:v>Checkout / Payment Workflow; Stripe Webhook Workflow</x:v>
      </x:c>
      <x:c r="D10" s="12" t="str">
        <x:v>Payment state such as paid, pending, failed, refunded, or confirmed after Stripe-hosted checkout.</x:v>
      </x:c>
      <x:c r="E10" s="12" t="str">
        <x:v>Transactional / Payment-Related Information</x:v>
      </x:c>
      <x:c r="F10" s="12" t="str">
        <x:v>Medium</x:v>
      </x:c>
      <x:c r="G10" s="12" t="str">
        <x:v>Stripe hosted checkout result; Stripe webhook events; application payment confirmation logic</x:v>
      </x:c>
      <x:c r="H10" s="12" t="str">
        <x:v>Confirm payment completion, update reservation status, create order record, and support reconciliation.</x:v>
      </x:c>
      <x:c r="I10" s="12" t="str">
        <x:v>Used to determine whether reservation should be confirmed and whether order/confirmation email should be generated.</x:v>
      </x:c>
      <x:c r="J10" s="12" t="str">
        <x:v>MongoDB collections: orders and reservations as applicable; backend processing records; possible admin/internal views.</x:v>
      </x:c>
      <x:c r="K10" s="12" t="str">
        <x:v>Business Owner; Admin/Internal User; Application Owner; Developer/Technical Support with broad system access.</x:v>
      </x:c>
      <x:c r="L10" s="12" t="str">
        <x:v>Stripe processes payment externally; internal application receives payment status or related metadata through webhook events.</x:v>
      </x:c>
      <x:c r="M10" s="12" t="str">
        <x:v>Cardholder data is not stored internally; however, payment status is linked to customer/reservation records. RBAC and logging limitations apply.</x:v>
      </x:c>
      <x:c r="N10" s="12" t="str">
        <x:v>Retain while needed for payment reconciliation, booking confirmation, dispute handling, and documented business retention purpose.</x:v>
      </x:c>
      <x:c r="O10" s="12" t="str">
        <x:v>Delete or anonymize after reconciliation and retention period expires, subject to business/legal needs.</x:v>
      </x:c>
      <x:c r="P10" s="12" t="str">
        <x:v>Payment-related processing should be disclosed through checkout/payment and privacy notice context.</x:v>
      </x:c>
      <x:c r="Q10" s="12" t="str">
        <x:v>Accountability; Identifying Purposes; Safeguards; Openness; Limiting Use, Disclosure, and Retention</x:v>
      </x:c>
      <x:c r="R10" s="12" t="str">
        <x:v>PF-003; PF-004; PF-005; PF-006</x:v>
      </x:c>
      <x:c r="S10" s="12" t="str">
        <x:v>Payment status is privacy-relevant when linked to a customer and reservation. Internal retained payment metadata should be clearly documented.</x:v>
      </x:c>
      <x:c r="T10" s="12" t="str">
        <x:v>EV-003; Data_Flow; Walkthrough_Documentation; T-07 No_Third_Party_Audit_Evidence.png</x:v>
      </x:c>
      <x:c r="U10" s="12" t="str">
        <x:v>Sanitized observation from data flow and Stripe workflow review</x:v>
      </x:c>
    </x:row>
    <x:row r="11">
      <x:c r="A11" s="12" t="str">
        <x:v>PI-010</x:v>
      </x:c>
      <x:c r="B11" s="12" t="str">
        <x:v>Stripe transaction/payment reference</x:v>
      </x:c>
      <x:c r="C11" s="12" t="str">
        <x:v>Checkout / Payment Workflow; Vendor Processing Workflow</x:v>
      </x:c>
      <x:c r="D11" s="12" t="str">
        <x:v>Stripe session ID, payment intent reference, transaction reference, or similar external payment identifier.</x:v>
      </x:c>
      <x:c r="E11" s="12" t="str">
        <x:v>Transactional / Vendor Reference</x:v>
      </x:c>
      <x:c r="F11" s="12" t="str">
        <x:v>Medium</x:v>
      </x:c>
      <x:c r="G11" s="12" t="str">
        <x:v>Stripe hosted checkout; webhook events; backend payment confirmation logic</x:v>
      </x:c>
      <x:c r="H11" s="12" t="str">
        <x:v>Link external payment event to internal reservation or order record and support reconciliation.</x:v>
      </x:c>
      <x:c r="I11" s="12" t="str">
        <x:v>Used to validate payment completion, support troubleshooting, and connect payment event to internal operational record.</x:v>
      </x:c>
      <x:c r="J11" s="12" t="str">
        <x:v>Stripe environment; MongoDB orders/reservations or payment-related metadata fields where applicable; backend logs if captured.</x:v>
      </x:c>
      <x:c r="K11" s="12" t="str">
        <x:v>Business Owner; Application Owner; Developer/Technical Support with broad system access; Founder for Stripe administration.</x:v>
      </x:c>
      <x:c r="L11" s="12" t="str">
        <x:v>Stripe is the primary external processor for payment references.</x:v>
      </x:c>
      <x:c r="M11" s="12" t="str">
        <x:v>Hosted checkout reduces internal cardholder data exposure; however, vendor processing documentation and internal retained metadata boundary need documentation.</x:v>
      </x:c>
      <x:c r="N11" s="12" t="str">
        <x:v>Retain while needed for reconciliation, dispute handling, customer support, and documented retention purpose.</x:v>
      </x:c>
      <x:c r="O11" s="12" t="str">
        <x:v>Delete or anonymize internal references after retention period expires if no longer operationally required.</x:v>
      </x:c>
      <x:c r="P11" s="12" t="str">
        <x:v>Payment processing should be disclosed through checkout/payment context and privacy notice.</x:v>
      </x:c>
      <x:c r="Q11" s="12" t="str">
        <x:v>Accountability; Safeguards; Openness; Limiting Use, Disclosure, and Retention</x:v>
      </x:c>
      <x:c r="R11" s="12" t="str">
        <x:v>PF-004; PF-005; PF-006</x:v>
      </x:c>
      <x:c r="S11" s="12" t="str">
        <x:v>Stripe reference is not full payment card data, but it links a customer/reservation to a third-party payment event. The internal/external data boundary should be documented.</x:v>
      </x:c>
      <x:c r="T11" s="12" t="str">
        <x:v>EV-003; Data_Flow; T-07 No_Third_Party_Audit_Evidence.png</x:v>
      </x:c>
      <x:c r="U11" s="12" t="str">
        <x:v>Sanitized observation from Stripe integration review</x:v>
      </x:c>
    </x:row>
    <x:row r="12">
      <x:c r="A12" s="12" t="str">
        <x:v>PI-011</x:v>
      </x:c>
      <x:c r="B12" s="12" t="str">
        <x:v>Order record</x:v>
      </x:c>
      <x:c r="C12" s="12" t="str">
        <x:v>Checkout / Payment Workflow; Reservation Workflow</x:v>
      </x:c>
      <x:c r="D12" s="12" t="str">
        <x:v>Internal order record created after successful payment, potentially linking customer identifiers, reservation details, payment status, and payment reference.</x:v>
      </x:c>
      <x:c r="E12" s="12" t="str">
        <x:v>Combined Transactional Record</x:v>
      </x:c>
      <x:c r="F12" s="12" t="str">
        <x:v>Medium to High</x:v>
      </x:c>
      <x:c r="G12" s="12" t="str">
        <x:v>Stripe successful payment event; backend order creation logic; database write after checkout</x:v>
      </x:c>
      <x:c r="H12" s="12" t="str">
        <x:v>Maintain operational record of purchase/reservation and support confirmation, reconciliation, and customer service.</x:v>
      </x:c>
      <x:c r="I12" s="12" t="str">
        <x:v>Used to confirm purchase, connect payment to booking, send confirmation email, and support operations.</x:v>
      </x:c>
      <x:c r="J12" s="12" t="str">
        <x:v>MongoDB collection: orders; related reservation records; admin/internal views; confirmation email context.</x:v>
      </x:c>
      <x:c r="K12" s="12" t="str">
        <x:v>Business Owner; Admin/Internal User; Application Owner; Developer/Technical Support with broad system access.</x:v>
      </x:c>
      <x:c r="L12" s="12" t="str">
        <x:v>Stripe for payment confirmation; Gmail SMTP for confirmation emails; hosting/database provider.</x:v>
      </x:c>
      <x:c r="M12" s="12" t="str">
        <x:v>No authentication required for checkout; RBAC not enforced; partial encryption depending on included fields; limited user/admin logging.</x:v>
      </x:c>
      <x:c r="N12" s="12" t="str">
        <x:v>Retain while needed for class operations, accounting/reconciliation, customer support, and documented retention purpose.</x:v>
      </x:c>
      <x:c r="O12" s="12" t="str">
        <x:v>Delete or anonymize when business retention purpose ends and retention period expires.</x:v>
      </x:c>
      <x:c r="P12" s="12" t="str">
        <x:v>Order creation follows customer-initiated checkout; privacy notice should explain payment/order data handling.</x:v>
      </x:c>
      <x:c r="Q12" s="12" t="str">
        <x:v>Accountability; Identifying Purposes; Safeguards; Accuracy; Limiting Use, Disclosure, and Retention</x:v>
      </x:c>
      <x:c r="R12" s="12" t="str">
        <x:v>PF-001; PF-002; PF-003; PF-004; PF-005; PF-006; PF-007</x:v>
      </x:c>
      <x:c r="S12" s="12" t="str">
        <x:v>Order records aggregate multiple privacy-relevant elements, increasing impact if access, logging, encryption, or retention controls are weak.</x:v>
      </x:c>
      <x:c r="T12" s="12" t="str">
        <x:v>EV-002; EV-003; Data_Flow; Walkthrough_Documentation</x:v>
      </x:c>
      <x:c r="U12" s="12" t="str">
        <x:v>Sanitized observation from data flow and walkthrough</x:v>
      </x:c>
    </x:row>
    <x:row r="13">
      <x:c r="A13" s="12" t="str">
        <x:v>PI-012</x:v>
      </x:c>
      <x:c r="B13" s="12" t="str">
        <x:v>Admin/internal user identifiers</x:v>
      </x:c>
      <x:c r="C13" s="12" t="str">
        <x:v>Admin / Internal Access Workflow; Access Governance Workflow</x:v>
      </x:c>
      <x:c r="D13" s="12" t="str">
        <x:v>Developer, founder, or internal account identifiers associated with GitHub, Render, Stripe, Gmail, Cloudinary, or database access.</x:v>
      </x:c>
      <x:c r="E13" s="12" t="str">
        <x:v>Internal Identifier / Accountability Data</x:v>
      </x:c>
      <x:c r="F13" s="12" t="str">
        <x:v>Medium</x:v>
      </x:c>
      <x:c r="G13" s="12" t="str">
        <x:v>GitHub repository; Render deployment platform; Stripe admin; Gmail administration; Cloudinary access; database connection usage</x:v>
      </x:c>
      <x:c r="H13" s="12" t="str">
        <x:v>Support system administration, deployment, vendor management, and accountability for internal access.</x:v>
      </x:c>
      <x:c r="I13" s="12" t="str">
        <x:v>Used to administer systems, manage deployments, troubleshoot issues, access vendor services, and support operational activity.</x:v>
      </x:c>
      <x:c r="J13" s="12" t="str">
        <x:v>GitHub, Render, Stripe, Gmail, Cloudinary, local development environment, environment variable stores, and related access records.</x:v>
      </x:c>
      <x:c r="K13" s="12" t="str">
        <x:v>Developer; Founder; Application Owner; Business Owner depending on platform.</x:v>
      </x:c>
      <x:c r="L13" s="12" t="str">
        <x:v>GitHub; Render; Stripe; Gmail; Cloudinary; database hosting provider.</x:v>
      </x:c>
      <x:c r="M13" s="12" t="str">
        <x:v>Access is fragmented across platforms; no centralized access governance model; no formal provisioning, approval, access review, or revocation process.</x:v>
      </x:c>
      <x:c r="N13" s="12" t="str">
        <x:v>Retain access records while needed for accountability, audit trail, security, and business administration.</x:v>
      </x:c>
      <x:c r="O13" s="12" t="str">
        <x:v>Remove or disable access when role changes, access is no longer required, or relationship ends.</x:v>
      </x:c>
      <x:c r="P13" s="12" t="str">
        <x:v>Internal user privacy and accountability data should be limited to access governance and security purposes.</x:v>
      </x:c>
      <x:c r="Q13" s="12" t="str">
        <x:v>Accountability; Safeguards; Challenging Compliance; Limiting Use, Disclosure, and Retention</x:v>
      </x:c>
      <x:c r="R13" s="12" t="str">
        <x:v>PF-002; PF-003; PF-006; PF-007</x:v>
      </x:c>
      <x:c r="S13" s="12" t="str">
        <x:v>Internal access identifiers are required for accountability, but lack of centralized governance weakens ability to prove who had access to personal information and when.</x:v>
      </x:c>
      <x:c r="T13" s="12" t="str">
        <x:v>EV-004; Access_Control_Analysis; UAR_Review; SoD_Analysis</x:v>
      </x:c>
      <x:c r="U13" s="12" t="str">
        <x:v>Sanitized observation from access control and access mapping review</x:v>
      </x:c>
    </x:row>
    <x:row r="14">
      <x:c r="A14" s="12" t="str">
        <x:v>PI-013</x:v>
      </x:c>
      <x:c r="B14" s="12" t="str">
        <x:v>System logs and access records</x:v>
      </x:c>
      <x:c r="C14" s="12" t="str">
        <x:v>Logging / Monitoring Workflow</x:v>
      </x:c>
      <x:c r="D14" s="12" t="str">
        <x:v>Winston error.log and combined.log entries capturing application errors, system events, database connection events, payment/reservation activity, CSRF or reCAPTCHA events, and selected request activity.</x:v>
      </x:c>
      <x:c r="E14" s="12" t="str">
        <x:v>Technical Metadata / Accountability Record</x:v>
      </x:c>
      <x:c r="F14" s="12" t="str">
        <x:v>Medium</x:v>
      </x:c>
      <x:c r="G14" s="12" t="str">
        <x:v>Application logging layer; Winston logs; server/runtime events</x:v>
      </x:c>
      <x:c r="H14" s="12" t="str">
        <x:v>Support troubleshooting, security monitoring, incident investigation, and operational visibility.</x:v>
      </x:c>
      <x:c r="I14" s="12" t="str">
        <x:v>Used to review system behavior, errors, payment/reservation processing, and selected security-related events.</x:v>
      </x:c>
      <x:c r="J14" s="12" t="str">
        <x:v>Application log files: error.log and combined.log; hosting/deployment environment where logs are stored or viewed.</x:v>
      </x:c>
      <x:c r="K14" s="12" t="str">
        <x:v>Developer/Technical Support; Application Owner; potentially hosting/deployment administrators.</x:v>
      </x:c>
      <x:c r="L14" s="12" t="str">
        <x:v>Hosting/deployment provider; logging environment if externalized.</x:v>
      </x:c>
      <x:c r="M14" s="12" t="str">
        <x:v>System-level logging exists, but no dedicated logging for user access, authentication events, or administrative actions. Some logs may contain partially masked PII.</x:v>
      </x:c>
      <x:c r="N14" s="12" t="str">
        <x:v>Retain logs only for a defined troubleshooting, security, or audit period. Avoid unnecessary retention of logs containing personal information.</x:v>
      </x:c>
      <x:c r="O14" s="12" t="str">
        <x:v>Delete or rotate logs according to documented log retention schedule.</x:v>
      </x:c>
      <x:c r="P14" s="12" t="str">
        <x:v>Logging should be disclosed where relevant and limited to security, troubleshooting, and accountability purposes.</x:v>
      </x:c>
      <x:c r="Q14" s="12" t="str">
        <x:v>Accountability; Safeguards; Challenging Compliance; Limiting Collection; Limiting Use, Disclosure, and Retention</x:v>
      </x:c>
      <x:c r="R14" s="12" t="str">
        <x:v>PF-003; PF-005; PF-006</x:v>
      </x:c>
      <x:c r="S14" s="12" t="str">
        <x:v>Logging is privacy-relevant in two directions: insufficient access logging weakens accountability, while logs containing personal information require retention and minimization controls.</x:v>
      </x:c>
      <x:c r="T14" s="12" t="str">
        <x:v>EV-005; T-06 Existing_System_Logs.png; T-06 No_Access_Activity_Logging.png</x:v>
      </x:c>
      <x:c r="U14" s="12" t="str">
        <x:v>Sanitized observation from logging review and testing evidence</x:v>
      </x:c>
    </x:row>
    <x:row r="15">
      <x:c r="A15" s="12" t="str">
        <x:v>PI-014</x:v>
      </x:c>
      <x:c r="B15" s="12" t="str">
        <x:v>IP, device, or session metadata</x:v>
      </x:c>
      <x:c r="C15" s="12" t="str">
        <x:v>Checkout / Contact / Logging Workflow</x:v>
      </x:c>
      <x:c r="D15" s="12" t="str">
        <x:v>IP address, device information, session identifier, request metadata, reCAPTCHA details, or similar technical metadata if collected or logged.</x:v>
      </x:c>
      <x:c r="E15" s="12" t="str">
        <x:v>Technical Metadata / Online Identifier</x:v>
      </x:c>
      <x:c r="F15" s="12" t="str">
        <x:v>Medium</x:v>
      </x:c>
      <x:c r="G15" s="12" t="str">
        <x:v>Web requests; server logs; reCAPTCHA validation; hosting or application logs</x:v>
      </x:c>
      <x:c r="H15" s="12" t="str">
        <x:v>Support fraud prevention, bot protection, troubleshooting, security monitoring, and service operation.</x:v>
      </x:c>
      <x:c r="I15" s="12" t="str">
        <x:v>Used to validate requests, monitor abuse, troubleshoot errors, and support security investigation where captured.</x:v>
      </x:c>
      <x:c r="J15" s="12" t="str">
        <x:v>Application logs, hosting/deployment logs, reCAPTCHA-related logs, or server request records if retained.</x:v>
      </x:c>
      <x:c r="K15" s="12" t="str">
        <x:v>Developer/Technical Support; Application Owner; hosting/deployment administrators.</x:v>
      </x:c>
      <x:c r="L15" s="12" t="str">
        <x:v>Hosting/deployment provider; reCAPTCHA/Google service if used; logging environment if applicable.</x:v>
      </x:c>
      <x:c r="M15" s="12" t="str">
        <x:v>reCAPTCHA validation and system logging observed; exact scope of IP/device/session storage is not fully validated. Access and retention controls are not fully documented.</x:v>
      </x:c>
      <x:c r="N15" s="12" t="str">
        <x:v>Retain only for documented security, fraud prevention, troubleshooting, or operational purpose.</x:v>
      </x:c>
      <x:c r="O15" s="12" t="str">
        <x:v>Delete or anonymize according to documented technical log retention schedule.</x:v>
      </x:c>
      <x:c r="P15" s="12" t="str">
        <x:v>Technical metadata collection should be disclosed where relevant and limited to necessary purposes.</x:v>
      </x:c>
      <x:c r="Q15" s="12" t="str">
        <x:v>Accountability; Identifying Purposes; Limiting Collection; Safeguards; Limiting Use, Disclosure, and Retention; Openness</x:v>
      </x:c>
      <x:c r="R15" s="12" t="str">
        <x:v>PF-003; PF-005; PF-006</x:v>
      </x:c>
      <x:c r="S15" s="12" t="str">
        <x:v>Technical metadata can become privacy-relevant when linked to an identifiable user or transaction. Scope and retention should be documented.</x:v>
      </x:c>
      <x:c r="T15" s="12" t="str">
        <x:v>EV-005; Existing_System_Logs.png; No_Access_Activity_Logging.png</x:v>
      </x:c>
      <x:c r="U15" s="12" t="str">
        <x:v>Assumption supported by logging and reCAPTCHA evidence</x:v>
      </x:c>
    </x:row>
    <x:row r="16">
      <x:c r="A16" s="12" t="str">
        <x:v>PI-015</x:v>
      </x:c>
      <x:c r="B16" s="12" t="str">
        <x:v>Payment amount / order total</x:v>
      </x:c>
      <x:c r="C16" s="12" t="str">
        <x:v>Checkout / Payment Workflow</x:v>
      </x:c>
      <x:c r="D16" s="12" t="str">
        <x:v>Total cost, tax, discount, promo code effect, class price, or payment amount associated with a customer order.</x:v>
      </x:c>
      <x:c r="E16" s="12" t="str">
        <x:v>Transactional / Financial-Related Information</x:v>
      </x:c>
      <x:c r="F16" s="12" t="str">
        <x:v>Medium</x:v>
      </x:c>
      <x:c r="G16" s="12" t="str">
        <x:v>Cart and checkout page; Stripe hosted checkout; order creation workflow</x:v>
      </x:c>
      <x:c r="H16" s="12" t="str">
        <x:v>Calculate customer payment amount, support checkout, confirm transaction, and reconcile order records.</x:v>
      </x:c>
      <x:c r="I16" s="12" t="str">
        <x:v>Used to present order summary, process payment, update order status, and support reconciliation.</x:v>
      </x:c>
      <x:c r="J16" s="12" t="str">
        <x:v>Checkout/order workflow; Stripe payment environment; MongoDB orders or related payment/order records as applicable.</x:v>
      </x:c>
      <x:c r="K16" s="12" t="str">
        <x:v>Business Owner; Admin/Internal User; Application Owner; Developer/Technical Support with broad system access.</x:v>
      </x:c>
      <x:c r="L16" s="12" t="str">
        <x:v>Stripe; hosting/database provider; possible Gmail SMTP confirmation records.</x:v>
      </x:c>
      <x:c r="M16" s="12" t="str">
        <x:v>Payment amount is processed through checkout and Stripe; no cardholder data is stored internally. Access, logging, and retention documentation remain relevant.</x:v>
      </x:c>
      <x:c r="N16" s="12" t="str">
        <x:v>Retain while needed for transaction reconciliation, accounting, customer support, and documented business purpose.</x:v>
      </x:c>
      <x:c r="O16" s="12" t="str">
        <x:v>Delete or anonymize when no longer required and retention period expires.</x:v>
      </x:c>
      <x:c r="P16" s="12" t="str">
        <x:v>Customer sees and initiates payment; purpose should be clear during checkout and privacy notice context.</x:v>
      </x:c>
      <x:c r="Q16" s="12" t="str">
        <x:v>Accountability; Identifying Purposes; Safeguards; Openness; Limiting Use, Disclosure, and Retention</x:v>
      </x:c>
      <x:c r="R16" s="12" t="str">
        <x:v>PF-004; PF-005; PF-006</x:v>
      </x:c>
      <x:c r="S16" s="12" t="str">
        <x:v>Transaction amount is privacy-relevant when linked to customer identity and reservation details. Retention and vendor processing boundary should be documented.</x:v>
      </x:c>
      <x:c r="T16" s="12" t="str">
        <x:v>EV-002; EV-003; No_Login_Cart.png; Data_Flow</x:v>
      </x:c>
      <x:c r="U16" s="12" t="str">
        <x:v>Sanitized observation from checkout workflow and data flow</x:v>
      </x:c>
    </x:row>
    <x:row r="17">
      <x:c r="A17" s="12" t="str">
        <x:v>PI-016</x:v>
      </x:c>
      <x:c r="B17" s="12" t="str">
        <x:v>Privacy policy acknowledgement indicator</x:v>
      </x:c>
      <x:c r="C17" s="12" t="str">
        <x:v>Checkout / Consent-Acknowledgement Workflow</x:v>
      </x:c>
      <x:c r="D17" s="12" t="str">
        <x:v>Checkbox or user interface signal indicating acknowledgement of privacy policy during checkout.</x:v>
      </x:c>
      <x:c r="E17" s="12" t="str">
        <x:v>Consent / Notice Interaction Metadata</x:v>
      </x:c>
      <x:c r="F17" s="12" t="str">
        <x:v>Low to Medium</x:v>
      </x:c>
      <x:c r="G17" s="12" t="str">
        <x:v>Checkout form privacy policy checkbox</x:v>
      </x:c>
      <x:c r="H17" s="12" t="str">
        <x:v>Record or support notice/acknowledgement that customer was presented with privacy policy before payment-related action.</x:v>
      </x:c>
      <x:c r="I17" s="12" t="str">
        <x:v>Potentially used to demonstrate customer-facing notice or acknowledgement, if stored or logged.</x:v>
      </x:c>
      <x:c r="J17" s="12" t="str">
        <x:v>Observed in checkout UI; storage location not validated. Could be frontend-only unless backend capture exists.</x:v>
      </x:c>
      <x:c r="K17" s="12" t="str">
        <x:v>Business Owner; Application Owner; Developer/Technical Support if stored or logged.</x:v>
      </x:c>
      <x:c r="L17" s="12" t="str">
        <x:v>No confirmed third-party sharing. May be connected to checkout workflow if transmitted with payment/order data.</x:v>
      </x:c>
      <x:c r="M17" s="12" t="str">
        <x:v>Checkbox observed in UI; storage and evidence capture not validated. Should not be treated as proof of valid consent without backend evidence.</x:v>
      </x:c>
      <x:c r="N17" s="12" t="str">
        <x:v>If captured, retain only as long as needed to demonstrate notice/acknowledgement or support dispute/audit purpose.</x:v>
      </x:c>
      <x:c r="O17" s="12" t="str">
        <x:v>Delete or anonymize when no longer required for documented notice/audit purpose.</x:v>
      </x:c>
      <x:c r="P17" s="12" t="str">
        <x:v>This is an acknowledgement/notice indicator, not proof of full consent validity by itself.</x:v>
      </x:c>
      <x:c r="Q17" s="12" t="str">
        <x:v>Accountability; Consent; Openness; Identifying Purposes</x:v>
      </x:c>
      <x:c r="R17" s="12" t="str">
        <x:v>PF-006; PF-007</x:v>
      </x:c>
      <x:c r="S17" s="12" t="str">
        <x:v>The UI includes a privacy policy acknowledgement mechanism, but backend capture and evidence traceability are not validated. Do not overstate this as a complete consent control.</x:v>
      </x:c>
      <x:c r="T17" s="12" t="str">
        <x:v>EV-002; No_Login_Checkout_Form.png</x:v>
      </x:c>
      <x:c r="U17" s="12" t="str">
        <x:v>Observed UI evidence; storage not validated</x:v>
      </x:c>
    </x:row>
  </x:sheetData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FormatPr defaultRowHeight="15"/>
  <x:cols>
    <x:col min="1" max="1" width="28" hidden="0" customWidth="1"/>
    <x:col min="2" max="2" width="60" hidden="0" customWidth="1"/>
  </x:cols>
  <x:sheetData>
    <x:row r="1">
      <x:c r="A1" s="3" t="str">
        <x:v>List Name</x:v>
      </x:c>
      <x:c r="B1" s="3" t="str">
        <x:v>Value</x:v>
      </x:c>
    </x:row>
    <x:row r="2">
      <x:c r="A2" s="10" t="str">
        <x:v>Workflow</x:v>
      </x:c>
      <x:c r="B2" s="10" t="str">
        <x:v>Checkout / Reservation Workflow</x:v>
      </x:c>
    </x:row>
    <x:row r="3">
      <x:c r="A3" s="10" t="str">
        <x:v>Workflow</x:v>
      </x:c>
      <x:c r="B3" s="10" t="str">
        <x:v>Contact Form Workflow</x:v>
      </x:c>
    </x:row>
    <x:row r="4">
      <x:c r="A4" s="10" t="str">
        <x:v>Workflow</x:v>
      </x:c>
      <x:c r="B4" s="10" t="str">
        <x:v>Checkout / Payment Workflow</x:v>
      </x:c>
    </x:row>
    <x:row r="5">
      <x:c r="A5" s="10" t="str">
        <x:v>Workflow</x:v>
      </x:c>
      <x:c r="B5" s="10" t="str">
        <x:v>Stripe Webhook Workflow</x:v>
      </x:c>
    </x:row>
    <x:row r="6">
      <x:c r="A6" s="10" t="str">
        <x:v>Workflow</x:v>
      </x:c>
      <x:c r="B6" s="10" t="str">
        <x:v>Admin / Internal Access Workflow</x:v>
      </x:c>
    </x:row>
    <x:row r="7">
      <x:c r="A7" s="10" t="str">
        <x:v>Workflow</x:v>
      </x:c>
      <x:c r="B7" s="10" t="str">
        <x:v>Logging / Monitoring Workflow</x:v>
      </x:c>
    </x:row>
    <x:row r="8">
      <x:c r="A8" s="10" t="str">
        <x:v>Workflow</x:v>
      </x:c>
      <x:c r="B8" s="10" t="str">
        <x:v>Vendor Processing Workflow</x:v>
      </x:c>
    </x:row>
    <x:row r="9">
      <x:c r="A9" s="10" t="str">
        <x:v>Workflow</x:v>
      </x:c>
      <x:c r="B9" s="10" t="str">
        <x:v>Consent-Acknowledgement Workflow</x:v>
      </x:c>
    </x:row>
    <x:row r="10">
      <x:c r="A10" s="10" t="str">
        <x:v>Sensitivity Level</x:v>
      </x:c>
      <x:c r="B10" s="10" t="str">
        <x:v>Low</x:v>
      </x:c>
    </x:row>
    <x:row r="11">
      <x:c r="A11" s="10" t="str">
        <x:v>Sensitivity Level</x:v>
      </x:c>
      <x:c r="B11" s="10" t="str">
        <x:v>Low to Medium</x:v>
      </x:c>
    </x:row>
    <x:row r="12">
      <x:c r="A12" s="10" t="str">
        <x:v>Sensitivity Level</x:v>
      </x:c>
      <x:c r="B12" s="10" t="str">
        <x:v>Medium</x:v>
      </x:c>
    </x:row>
    <x:row r="13">
      <x:c r="A13" s="10" t="str">
        <x:v>Sensitivity Level</x:v>
      </x:c>
      <x:c r="B13" s="10" t="str">
        <x:v>Medium to High</x:v>
      </x:c>
    </x:row>
    <x:row r="14">
      <x:c r="A14" s="10" t="str">
        <x:v>Sensitivity Level</x:v>
      </x:c>
      <x:c r="B14" s="10" t="str">
        <x:v>High</x:v>
      </x:c>
    </x:row>
    <x:row r="15">
      <x:c r="A15" s="10" t="str">
        <x:v>Sensitivity Level</x:v>
      </x:c>
      <x:c r="B15" s="10" t="str">
        <x:v>Variable</x:v>
      </x:c>
    </x:row>
    <x:row r="16">
      <x:c r="A16" s="10" t="str">
        <x:v>Finding ID</x:v>
      </x:c>
      <x:c r="B16" s="10" t="str">
        <x:v>PF-001</x:v>
      </x:c>
    </x:row>
    <x:row r="17">
      <x:c r="A17" s="10" t="str">
        <x:v>Finding ID</x:v>
      </x:c>
      <x:c r="B17" s="10" t="str">
        <x:v>PF-002</x:v>
      </x:c>
    </x:row>
    <x:row r="18">
      <x:c r="A18" s="10" t="str">
        <x:v>Finding ID</x:v>
      </x:c>
      <x:c r="B18" s="10" t="str">
        <x:v>PF-003</x:v>
      </x:c>
    </x:row>
    <x:row r="19">
      <x:c r="A19" s="10" t="str">
        <x:v>Finding ID</x:v>
      </x:c>
      <x:c r="B19" s="10" t="str">
        <x:v>PF-004</x:v>
      </x:c>
    </x:row>
    <x:row r="20">
      <x:c r="A20" s="10" t="str">
        <x:v>Finding ID</x:v>
      </x:c>
      <x:c r="B20" s="10" t="str">
        <x:v>PF-005</x:v>
      </x:c>
    </x:row>
    <x:row r="21">
      <x:c r="A21" s="10" t="str">
        <x:v>Finding ID</x:v>
      </x:c>
      <x:c r="B21" s="10" t="str">
        <x:v>PF-006</x:v>
      </x:c>
    </x:row>
    <x:row r="22">
      <x:c r="A22" s="10" t="str">
        <x:v>Finding ID</x:v>
      </x:c>
      <x:c r="B22" s="10" t="str">
        <x:v>PF-007</x:v>
      </x:c>
    </x:row>
    <x:row r="23">
      <x:c r="A23" s="10" t="str">
        <x:v>PIPEDA Principle</x:v>
      </x:c>
      <x:c r="B23" s="10" t="str">
        <x:v>Accountability</x:v>
      </x:c>
    </x:row>
    <x:row r="24">
      <x:c r="A24" s="10" t="str">
        <x:v>PIPEDA Principle</x:v>
      </x:c>
      <x:c r="B24" s="10" t="str">
        <x:v>Identifying Purposes</x:v>
      </x:c>
    </x:row>
    <x:row r="25">
      <x:c r="A25" s="10" t="str">
        <x:v>PIPEDA Principle</x:v>
      </x:c>
      <x:c r="B25" s="10" t="str">
        <x:v>Consent</x:v>
      </x:c>
    </x:row>
    <x:row r="26">
      <x:c r="A26" s="10" t="str">
        <x:v>PIPEDA Principle</x:v>
      </x:c>
      <x:c r="B26" s="10" t="str">
        <x:v>Limiting Collection</x:v>
      </x:c>
    </x:row>
    <x:row r="27">
      <x:c r="A27" s="10" t="str">
        <x:v>PIPEDA Principle</x:v>
      </x:c>
      <x:c r="B27" s="10" t="str">
        <x:v>Limiting Use, Disclosure, and Retention</x:v>
      </x:c>
    </x:row>
    <x:row r="28">
      <x:c r="A28" s="10" t="str">
        <x:v>PIPEDA Principle</x:v>
      </x:c>
      <x:c r="B28" s="10" t="str">
        <x:v>Accuracy</x:v>
      </x:c>
    </x:row>
    <x:row r="29">
      <x:c r="A29" s="10" t="str">
        <x:v>PIPEDA Principle</x:v>
      </x:c>
      <x:c r="B29" s="10" t="str">
        <x:v>Safeguards</x:v>
      </x:c>
    </x:row>
    <x:row r="30">
      <x:c r="A30" s="10" t="str">
        <x:v>PIPEDA Principle</x:v>
      </x:c>
      <x:c r="B30" s="10" t="str">
        <x:v>Openness</x:v>
      </x:c>
    </x:row>
    <x:row r="31">
      <x:c r="A31" s="10" t="str">
        <x:v>PIPEDA Principle</x:v>
      </x:c>
      <x:c r="B31" s="10" t="str">
        <x:v>Individual Access</x:v>
      </x:c>
    </x:row>
    <x:row r="32">
      <x:c r="A32" s="10" t="str">
        <x:v>PIPEDA Principle</x:v>
      </x:c>
      <x:c r="B32" s="10" t="str">
        <x:v>Challenging Compliance</x:v>
      </x:c>
    </x:row>
  </x:sheetData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42" hidden="0" customWidth="1"/>
    <x:col min="3" max="3" width="24" hidden="0" customWidth="1"/>
    <x:col min="4" max="4" width="48" hidden="0" customWidth="1"/>
    <x:col min="5" max="5" width="42" hidden="0" customWidth="1"/>
    <x:col min="6" max="6" width="24" hidden="0" customWidth="1"/>
    <x:col min="7" max="7" width="48" hidden="0" customWidth="1"/>
  </x:cols>
  <x:sheetData>
    <x:row r="1">
      <x:c r="A1" s="4" t="str">
        <x:v>Evidence ID</x:v>
      </x:c>
      <x:c r="B1" s="4" t="str">
        <x:v>Evidence Name</x:v>
      </x:c>
      <x:c r="C1" s="4" t="str">
        <x:v>Source Type</x:v>
      </x:c>
      <x:c r="D1" s="4" t="str">
        <x:v>Privacy Use</x:v>
      </x:c>
      <x:c r="E1" s="4" t="str">
        <x:v>Related Data Elements</x:v>
      </x:c>
      <x:c r="F1" s="4" t="str">
        <x:v>Related Finding ID</x:v>
      </x:c>
      <x:c r="G1" s="4" t="str">
        <x:v>Notes</x:v>
      </x:c>
    </x:row>
    <x:row r="2">
      <x:c r="A2" s="10" t="str">
        <x:v>EV-001</x:v>
      </x:c>
      <x:c r="B2" s="10" t="str">
        <x:v>Sanitized data model reference</x:v>
      </x:c>
      <x:c r="C2" s="10" t="str">
        <x:v>Sanitized evidence reference</x:v>
      </x:c>
      <x:c r="D2" s="10" t="str">
        <x:v>Supports field-level inventory and model-based PI identification</x:v>
      </x:c>
      <x:c r="E2" s="10" t="str">
        <x:v>PI-001 to PI-006; PI-008</x:v>
      </x:c>
      <x:c r="F2" s="10" t="str">
        <x:v>PF-001</x:v>
      </x:c>
      <x:c r="G2" s="10" t="str">
        <x:v>Based on reviewed Info and Contact model structures.</x:v>
      </x:c>
    </x:row>
    <x:row r="3">
      <x:c r="A3" s="10" t="str">
        <x:v>EV-002</x:v>
      </x:c>
      <x:c r="B3" s="10" t="str">
        <x:v>Sanitized application workflow reference</x:v>
      </x:c>
      <x:c r="C3" s="10" t="str">
        <x:v>Sanitized evidence reference</x:v>
      </x:c>
      <x:c r="D3" s="10" t="str">
        <x:v>Supports checkout, reservation, contact, and privacy policy acknowledgement workflow analysis</x:v>
      </x:c>
      <x:c r="E3" s="10" t="str">
        <x:v>PI-001 to PI-008; PI-011; PI-015; PI-016</x:v>
      </x:c>
      <x:c r="F3" s="10" t="str">
        <x:v>PF-002; PF-005; PF-006</x:v>
      </x:c>
      <x:c r="G3" s="10" t="str">
        <x:v>Based on checkout/contact workflow evidence.</x:v>
      </x:c>
    </x:row>
    <x:row r="4">
      <x:c r="A4" s="10" t="str">
        <x:v>EV-003</x:v>
      </x:c>
      <x:c r="B4" s="10" t="str">
        <x:v>Sanitized vendor dependency reference</x:v>
      </x:c>
      <x:c r="C4" s="10" t="str">
        <x:v>Sanitized evidence reference</x:v>
      </x:c>
      <x:c r="D4" s="10" t="str">
        <x:v>Supports Stripe, Gmail SMTP, Cloudinary, hosting, and payment boundary analysis</x:v>
      </x:c>
      <x:c r="E4" s="10" t="str">
        <x:v>PI-003; PI-007; PI-009; PI-010; PI-011; PI-015</x:v>
      </x:c>
      <x:c r="F4" s="10" t="str">
        <x:v>PF-004; PF-006</x:v>
      </x:c>
      <x:c r="G4" s="10" t="str">
        <x:v>Used for third-party processing assessment.</x:v>
      </x:c>
    </x:row>
    <x:row r="5">
      <x:c r="A5" s="10" t="str">
        <x:v>EV-004</x:v>
      </x:c>
      <x:c r="B5" s="10" t="str">
        <x:v>Sanitized access review reference</x:v>
      </x:c>
      <x:c r="C5" s="10" t="str">
        <x:v>Sanitized evidence reference</x:v>
      </x:c>
      <x:c r="D5" s="10" t="str">
        <x:v>Supports access role, privileged access, RBAC, UAR, and SoD observations</x:v>
      </x:c>
      <x:c r="E5" s="10" t="str">
        <x:v>PI-001 to PI-013</x:v>
      </x:c>
      <x:c r="F5" s="10" t="str">
        <x:v>PF-002; PF-003; PF-006; PF-007</x:v>
      </x:c>
      <x:c r="G5" s="10" t="str">
        <x:v>Based on access control, UAR, and SoD evidence.</x:v>
      </x:c>
    </x:row>
    <x:row r="6">
      <x:c r="A6" s="10" t="str">
        <x:v>EV-005</x:v>
      </x:c>
      <x:c r="B6" s="10" t="str">
        <x:v>Sanitized logging review reference</x:v>
      </x:c>
      <x:c r="C6" s="10" t="str">
        <x:v>Sanitized evidence reference</x:v>
      </x:c>
      <x:c r="D6" s="10" t="str">
        <x:v>Supports logging, monitoring, access record, and technical metadata observations</x:v>
      </x:c>
      <x:c r="E6" s="10" t="str">
        <x:v>PI-013; PI-014</x:v>
      </x:c>
      <x:c r="F6" s="10" t="str">
        <x:v>PF-003; PF-006</x:v>
      </x:c>
      <x:c r="G6" s="10" t="str">
        <x:v>Based on Winston log and missing access/admin logging evidence.</x:v>
      </x:c>
    </x:row>
    <x:row r="7">
      <x:c r="A7" s="10" t="str">
        <x:v>EV-006</x:v>
      </x:c>
      <x:c r="B7" s="10" t="str">
        <x:v>Sanitized retention review reference</x:v>
      </x:c>
      <x:c r="C7" s="10" t="str">
        <x:v>Sanitized evidence reference</x:v>
      </x:c>
      <x:c r="D7" s="10" t="str">
        <x:v>Supports retention/deletion gap analysis across personal information categories</x:v>
      </x:c>
      <x:c r="E7" s="10" t="str">
        <x:v>All inventory elements</x:v>
      </x:c>
      <x:c r="F7" s="10" t="str">
        <x:v>PF-005; PF-006</x:v>
      </x:c>
      <x:c r="G7" s="10" t="str">
        <x:v>Used where retention period or deletion trigger is not formally documented.</x:v>
      </x:c>
    </x:row>
    <x:row r="8">
      <x:c r="A8" s="10" t="str">
        <x:v>T-01</x:v>
      </x:c>
      <x:c r="B8" s="10" t="str">
        <x:v>No_Login_Cart.png and No_Login_Checkout_Form.png</x:v>
      </x:c>
      <x:c r="C8" s="10" t="str">
        <x:v>Screenshot evidence</x:v>
      </x:c>
      <x:c r="D8" s="10" t="str">
        <x:v>Supports no authentication for checkout/reservation actions</x:v>
      </x:c>
      <x:c r="E8" s="10" t="str">
        <x:v>PI-001 to PI-007; PI-011; PI-015; PI-016</x:v>
      </x:c>
      <x:c r="F8" s="10" t="str">
        <x:v>PF-002</x:v>
      </x:c>
      <x:c r="G8" s="10" t="str">
        <x:v>Shows users can proceed to checkout and form submission without login.</x:v>
      </x:c>
    </x:row>
    <x:row r="9">
      <x:c r="A9" s="10" t="str">
        <x:v>T-02</x:v>
      </x:c>
      <x:c r="B9" s="10" t="str">
        <x:v>No_Auth_RBAC_Middleware.png</x:v>
      </x:c>
      <x:c r="C9" s="10" t="str">
        <x:v>Screenshot evidence</x:v>
      </x:c>
      <x:c r="D9" s="10" t="str">
        <x:v>Supports absence of authentication/authorization middleware and RBAC enforcement</x:v>
      </x:c>
      <x:c r="E9" s="10" t="str">
        <x:v>PI-001 to PI-013</x:v>
      </x:c>
      <x:c r="F9" s="10" t="str">
        <x:v>PF-002; PF-007</x:v>
      </x:c>
      <x:c r="G9" s="10" t="str">
        <x:v>Search did not identify authentication, admin, authorize, or auth middleware.</x:v>
      </x:c>
    </x:row>
    <x:row r="10">
      <x:c r="A10" s="10" t="str">
        <x:v>T-03</x:v>
      </x:c>
      <x:c r="B10" s="10" t="str">
        <x:v>Contact_Model_PII.png and Info_Model_PII.png</x:v>
      </x:c>
      <x:c r="C10" s="10" t="str">
        <x:v>Screenshot evidence</x:v>
      </x:c>
      <x:c r="D10" s="10" t="str">
        <x:v>Supports field-level encryption and plaintext data observations</x:v>
      </x:c>
      <x:c r="E10" s="10" t="str">
        <x:v>PI-001 to PI-006; PI-008</x:v>
      </x:c>
      <x:c r="F10" s="10" t="str">
        <x:v>PF-001</x:v>
      </x:c>
      <x:c r="G10" s="10" t="str">
        <x:v>Email and contact number encrypted; firstName, lastName, address, and company plaintext.</x:v>
      </x:c>
    </x:row>
    <x:row r="11">
      <x:c r="A11" s="10" t="str">
        <x:v>T-04</x:v>
      </x:c>
      <x:c r="B11" s="10" t="str">
        <x:v>env_File_Masked.png</x:v>
      </x:c>
      <x:c r="C11" s="10" t="str">
        <x:v>Screenshot evidence</x:v>
      </x:c>
      <x:c r="D11" s="10" t="str">
        <x:v>Supports secrets management and broad access considerations</x:v>
      </x:c>
      <x:c r="E11" s="10" t="str">
        <x:v>Indirect support for all customer PI</x:v>
      </x:c>
      <x:c r="F11" s="10" t="str">
        <x:v>PF-002; PF-007</x:v>
      </x:c>
      <x:c r="G11" s="10" t="str">
        <x:v>Credentials masked; used only as sanitized evidence.</x:v>
      </x:c>
    </x:row>
    <x:row r="12">
      <x:c r="A12" s="10" t="str">
        <x:v>T-05</x:v>
      </x:c>
      <x:c r="B12" s="10" t="str">
        <x:v>Direct_Commits_Main_Branch.png and Single_Main_Branch.png</x:v>
      </x:c>
      <x:c r="C12" s="10" t="str">
        <x:v>Screenshot evidence</x:v>
      </x:c>
      <x:c r="D12" s="10" t="str">
        <x:v>Supports change management risk for systems handling personal information</x:v>
      </x:c>
      <x:c r="E12" s="10" t="str">
        <x:v>All system-handled PI</x:v>
      </x:c>
      <x:c r="F12" s="10" t="str">
        <x:v>PF-007</x:v>
      </x:c>
      <x:c r="G12" s="10" t="str">
        <x:v>Direct commits and single branch support change governance observation.</x:v>
      </x:c>
    </x:row>
    <x:row r="13">
      <x:c r="A13" s="10" t="str">
        <x:v>T-06</x:v>
      </x:c>
      <x:c r="B13" s="10" t="str">
        <x:v>Existing_System_Logs.png and No_Access_Activity_Logging.png</x:v>
      </x:c>
      <x:c r="C13" s="10" t="str">
        <x:v>Screenshot evidence</x:v>
      </x:c>
      <x:c r="D13" s="10" t="str">
        <x:v>Supports partial system logging and absence of user/admin access logging</x:v>
      </x:c>
      <x:c r="E13" s="10" t="str">
        <x:v>PI-013; PI-014</x:v>
      </x:c>
      <x:c r="F13" s="10" t="str">
        <x:v>PF-003; PF-006</x:v>
      </x:c>
      <x:c r="G13" s="10" t="str">
        <x:v>Winston logs exist but no dedicated access/admin activity logs identified.</x:v>
      </x:c>
    </x:row>
    <x:row r="14">
      <x:c r="A14" s="10" t="str">
        <x:v>T-07</x:v>
      </x:c>
      <x:c r="B14" s="10" t="str">
        <x:v>No_Third_Party_Audit_Evidence.png</x:v>
      </x:c>
      <x:c r="C14" s="10" t="str">
        <x:v>Screenshot evidence</x:v>
      </x:c>
      <x:c r="D14" s="10" t="str">
        <x:v>Supports lack of centralized vendor risk assessment evidence</x:v>
      </x:c>
      <x:c r="E14" s="10" t="str">
        <x:v>PI-003; PI-007; PI-009; PI-010; PI-011; PI-015</x:v>
      </x:c>
      <x:c r="F14" s="10" t="str">
        <x:v>PF-004; PF-006</x:v>
      </x:c>
      <x:c r="G14" s="10" t="str">
        <x:v>Used carefully. No claim of Stripe internal audit.</x:v>
      </x:c>
    </x:row>
  </x:sheetData>
  <x:pageMargins left="0.7" right="0.7" top="0.75" bottom="0.75" header="0.3" footer="0.3"/>
</x:worksheet>
</file>