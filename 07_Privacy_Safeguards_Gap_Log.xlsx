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D:\working\waccache\TO1PEPF000284D8\EXCELCNV\52f6866b-63d7-4997-ae4e-d0f846a69767\"/>
    </mc:Choice>
  </mc:AlternateContent>
  <xr:revisionPtr revIDLastSave="4" documentId="8_{78E3002C-DB44-4B2E-94A5-EE4D78648A3F}" xr6:coauthVersionLast="47" xr6:coauthVersionMax="47" xr10:uidLastSave="{B4D299B1-6071-42A0-9C98-8344ADD3D886}"/>
  <bookViews>
    <workbookView xWindow="-60" yWindow="-60" windowWidth="15480" windowHeight="11640" activeTab="3" xr2:uid="{00000000-000D-0000-FFFF-FFFF00000000}"/>
  </bookViews>
  <sheets>
    <sheet name="Summary" sheetId="1" r:id="rId1"/>
    <sheet name="Safeguards_Gap_Log" sheetId="2" r:id="rId2"/>
    <sheet name="Reference_Lists" sheetId="3" r:id="rId3"/>
    <sheet name="Evidence_Ma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<sst xmlns="http://schemas.openxmlformats.org/spreadsheetml/2006/main" count="266" uniqueCount="204">
  <si>
    <t>Workbook</t>
  </si>
  <si>
    <t>07_Privacy_Safeguards_Gap_Log.xlsx</t>
  </si>
  <si>
    <t>Project</t>
  </si>
  <si>
    <t>Privacy Impact &amp; Data Handling Risk Assessment: Customer-Facing Reservation Platform</t>
  </si>
  <si>
    <t>Purpose</t>
  </si>
  <si>
    <t>Document privacy safeguard gaps, affected data, privacy impact, related PIPEDA principles, evidence references, owners, target dates, and remediation status.</t>
  </si>
  <si>
    <t>Primary Lens</t>
  </si>
  <si>
    <t>PIPEDA Fair Information Principles used as an assessment framework, not a compliance claim.</t>
  </si>
  <si>
    <t>Source Context</t>
  </si>
  <si>
    <t>Sanitized ITGC data flow, testing workpapers, access control analysis, walkthrough, and evidence references.</t>
  </si>
  <si>
    <t>Scope Note</t>
  </si>
  <si>
    <t>This workbook supports the privacy safeguards review and remediation planning process.</t>
  </si>
  <si>
    <t>Limitation</t>
  </si>
  <si>
    <t>This workbook is not a formal legal opinion, official PIA, regulatory audit, certification, or compliance attestation.</t>
  </si>
  <si>
    <t>Total Gaps</t>
  </si>
  <si>
    <t>High Risk Gaps</t>
  </si>
  <si>
    <t>Medium Risk Gaps</t>
  </si>
  <si>
    <t>Low Risk Gaps</t>
  </si>
  <si>
    <t>Open Gaps</t>
  </si>
  <si>
    <t>In Progress Gaps</t>
  </si>
  <si>
    <t>Closed Gaps</t>
  </si>
  <si>
    <t>Gap ID</t>
  </si>
  <si>
    <t>Gap Title</t>
  </si>
  <si>
    <t>Safeguard Area</t>
  </si>
  <si>
    <t>Affected Data Element</t>
  </si>
  <si>
    <t>Current State</t>
  </si>
  <si>
    <t>Expected Privacy Safeguard</t>
  </si>
  <si>
    <t>Privacy Impact</t>
  </si>
  <si>
    <t>Related PIPEDA Principle</t>
  </si>
  <si>
    <t>Risk Rating</t>
  </si>
  <si>
    <t>Recommended Action</t>
  </si>
  <si>
    <t>Owner</t>
  </si>
  <si>
    <t>Target Date</t>
  </si>
  <si>
    <t>Evidence Reference</t>
  </si>
  <si>
    <t>Status</t>
  </si>
  <si>
    <t>SG-001</t>
  </si>
  <si>
    <t>Inconsistent Field-Level Protection for Direct Identifiers</t>
  </si>
  <si>
    <t>Encryption / Data Protection</t>
  </si>
  <si>
    <t>First name, last name, address, company information, email address, contact number</t>
  </si>
  <si>
    <t>Email address and contact number are protected with field-level encryption, while first name, last name, address, and company information may remain stored in plaintext.</t>
  </si>
  <si>
    <t>Comparable direct identifiers should receive documented and consistent protection based on sensitivity, business need, and technical feasibility.</t>
  </si>
  <si>
    <t>Identifiable customer data may be exposed with uneven safeguards, increasing privacy impact if database access or credential compromise occurs.</t>
  </si>
  <si>
    <t>Safeguards; Accountability; Limiting Use, Disclosure, and Retention</t>
  </si>
  <si>
    <t>High</t>
  </si>
  <si>
    <t>Define field-level protection requirements for direct identifiers, document encryption coverage, and remediate plaintext storage where appropriate.</t>
  </si>
  <si>
    <t>Application Owner</t>
  </si>
  <si>
    <t>EV-001, EV-002</t>
  </si>
  <si>
    <t>Open</t>
  </si>
  <si>
    <t>SG-002</t>
  </si>
  <si>
    <t>No Customer Authentication Context for Booking and Checkout Actions</t>
  </si>
  <si>
    <t>Authentication / Identity Context</t>
  </si>
  <si>
    <t>Reservation details, checkout information, order records, payment status</t>
  </si>
  <si>
    <t>Customers can browse, submit booking or checkout information, and complete transaction-related steps without a customer login or identity verification step.</t>
  </si>
  <si>
    <t>The application should document whether authentication is required for the business model and implement appropriate controls where attribution, account access, or record changes require identity assurance.</t>
  </si>
  <si>
    <t>Transaction-related activity may be less attributable to a verified customer identity, which can weaken accountability for record changes, disputes, or suspicious activity review.</t>
  </si>
  <si>
    <t>Accountability; Safeguards</t>
  </si>
  <si>
    <t>Medium</t>
  </si>
  <si>
    <t>Document the authentication decision, identify workflows that require authenticated access, and implement authentication where customer record access or modification is introduced.</t>
  </si>
  <si>
    <t>EV-002, EV-004</t>
  </si>
  <si>
    <t>SG-003</t>
  </si>
  <si>
    <t>RBAC Not Implemented for Internal Access to Personal Information</t>
  </si>
  <si>
    <t>Access Control / RBAC</t>
  </si>
  <si>
    <t>Reservation records, contact records, order records, payment references, customer identifiers</t>
  </si>
  <si>
    <t>No formal role-based access control model is implemented for internal or administrative access.</t>
  </si>
  <si>
    <t>Access to personal information should be limited by role, business purpose, and need-to-know.</t>
  </si>
  <si>
    <t>Internal users or technical personnel may access more personal information than necessary, increasing unauthorized access and internal misuse risk.</t>
  </si>
  <si>
    <t>Define privacy-relevant roles, implement RBAC for administrative access, restrict access by data category, and document approval and revocation procedures.</t>
  </si>
  <si>
    <t>Security / IT Reviewer</t>
  </si>
  <si>
    <t>EV-004</t>
  </si>
  <si>
    <t>SG-004</t>
  </si>
  <si>
    <t>Broad Developer Privileged Access Across System Layers</t>
  </si>
  <si>
    <t>Privileged Access Management</t>
  </si>
  <si>
    <t>MongoDB records, environment variables, source code, deployment configuration, customer PII</t>
  </si>
  <si>
    <t>Developer access may include GitHub, Render deployment configuration, environment variables, and direct or indirect MongoDB access.</t>
  </si>
  <si>
    <t>Privileged access should be restricted, approved, monitored, and periodically reviewed based on operational need.</t>
  </si>
  <si>
    <t>Broad technical access increases the impact of credential misuse, accidental exposure, or inappropriate access to customer personal information.</t>
  </si>
  <si>
    <t>Limit production database and secrets access, separate development and administrative duties, require approval for privileged access, and perform periodic access reviews.</t>
  </si>
  <si>
    <t>SG-005</t>
  </si>
  <si>
    <t>Limited Logging for User and Administrative Activity</t>
  </si>
  <si>
    <t>Logging / Monitoring</t>
  </si>
  <si>
    <t>Access to customer records, admin actions, record changes, exports, deletion events</t>
  </si>
  <si>
    <t>Winston-based system logging exists, but no structured logging was identified for user access, authentication events, or administrative actions.</t>
  </si>
  <si>
    <t>Access, modification, export, deletion, and permission changes involving personal information should be logged with sufficient detail for investigation.</t>
  </si>
  <si>
    <t>Unauthorized or inappropriate access to personal information may be difficult to detect, investigate, or evidence.</t>
  </si>
  <si>
    <t>Accountability; Safeguards; Challenging Compliance</t>
  </si>
  <si>
    <t>Implement structured audit logging for personal information access, admin activity, exports, deletions, and permission changes. Define log retention and review procedures.</t>
  </si>
  <si>
    <t>EV-005</t>
  </si>
  <si>
    <t>SG-006</t>
  </si>
  <si>
    <t>Secrets Access Not Sufficiently Restricted</t>
  </si>
  <si>
    <t>Secrets Management</t>
  </si>
  <si>
    <t>Database connection strings, encryption keys, Stripe keys, email credentials, Cloudinary keys</t>
  </si>
  <si>
    <t>Sensitive credentials are stored in environment variables and excluded from source code, but access to those secrets may be broad through local or deployment environments.</t>
  </si>
  <si>
    <t>Secrets should be stored securely with least-privilege access, rotation procedures, access review, and separation from unnecessary users.</t>
  </si>
  <si>
    <t>Broad access to credentials may enable unauthorized database, vendor, or email access and increase breach exposure for personal information.</t>
  </si>
  <si>
    <t>Safeguards; Accountability</t>
  </si>
  <si>
    <t>Restrict secrets access, document key ownership, rotate credentials where appropriate, and maintain evidence of who can access production secrets.</t>
  </si>
  <si>
    <t>SG-007</t>
  </si>
  <si>
    <t>Third-Party Processing Documentation Incomplete</t>
  </si>
  <si>
    <t>Vendor / Third-Party Processing</t>
  </si>
  <si>
    <t>Payment status, Stripe transaction reference, email records, media dependency records, hosting metadata</t>
  </si>
  <si>
    <t>Stripe, Gmail, Cloudinary, Render, GitHub, and database hosting dependencies are used, but vendor processing roles and due diligence evidence are not centralized.</t>
  </si>
  <si>
    <t>Third-party processing should be documented, including vendor role, data involved, retained internal data, access ownership, and review evidence.</t>
  </si>
  <si>
    <t>Vendor processing boundaries may be unclear, limiting transparency, accountability, and evidence readiness.</t>
  </si>
  <si>
    <t>Accountability; Openness; Safeguards; Limiting Use, Disclosure, and Retention</t>
  </si>
  <si>
    <t>Create a vendor processing register, document Stripe data boundary, map Gmail/email data handling, and maintain vendor review evidence.</t>
  </si>
  <si>
    <t>Vendor / Third-Party Owner</t>
  </si>
  <si>
    <t>EV-003</t>
  </si>
  <si>
    <t>SG-008</t>
  </si>
  <si>
    <t>Retention and Deletion Rules Not Fully Documented</t>
  </si>
  <si>
    <t>Retention / Deletion</t>
  </si>
  <si>
    <t>Reservations, contacts, orders, payment references, email records, logs</t>
  </si>
  <si>
    <t>Retention periods and deletion triggers are not fully documented across database collections, email records, payment references, and logs.</t>
  </si>
  <si>
    <t>Retention periods, deletion triggers, and exceptions should be documented for each record category and data location.</t>
  </si>
  <si>
    <t>Personal information may be retained longer than necessary or inconsistently across systems.</t>
  </si>
  <si>
    <t>Limiting Use, Disclosure, and Retention; Accountability; Openness</t>
  </si>
  <si>
    <t>Create a retention and deletion matrix for reservations, contacts, orders, payment references, emails, and logs. Define deletion triggers and exception handling.</t>
  </si>
  <si>
    <t>Business Owner</t>
  </si>
  <si>
    <t>EV-006</t>
  </si>
  <si>
    <t>SG-009</t>
  </si>
  <si>
    <t>Unreviewed Changes May Affect Personal Information Systems</t>
  </si>
  <si>
    <t>Change Governance</t>
  </si>
  <si>
    <t>Application workflows, reservation records, payment flow, logging, safeguards, retention logic</t>
  </si>
  <si>
    <t>Code changes may be committed directly to the main branch and deployed without formal pull request review, approval workflow, or staging validation.</t>
  </si>
  <si>
    <t>Changes affecting personal information processing should be reviewed, approved, tested, and documented before production deployment.</t>
  </si>
  <si>
    <t>Unreviewed changes may alter data collection, storage, access, logging, third-party processing, or safeguards without privacy review.</t>
  </si>
  <si>
    <t>Implement branch protection, pull request review, staging validation, and privacy impact review for changes affecting data handling.</t>
  </si>
  <si>
    <t>SG-010</t>
  </si>
  <si>
    <t>Free-Text Contact Message May Collect Unexpected Personal Information</t>
  </si>
  <si>
    <t>Data Minimization / Collection Control</t>
  </si>
  <si>
    <t>Contact message content</t>
  </si>
  <si>
    <t>Contact form message content is free text and may include unexpected or unnecessary personal information submitted by customers.</t>
  </si>
  <si>
    <t>Free-text collection should include clear purpose language, avoid encouraging unnecessary sensitive information, and support appropriate retention and review.</t>
  </si>
  <si>
    <t>The system may collect more personal information than needed for inquiry response, increasing retention and exposure risk.</t>
  </si>
  <si>
    <t>Limiting Collection; Identifying Purposes; Safeguards; Limiting Use, Disclosure, and Retention</t>
  </si>
  <si>
    <t>Add clear contact form guidance, review whether message fields need limits or notices, and define retention rules for resolved inquiries.</t>
  </si>
  <si>
    <t>Privacy Reviewer</t>
  </si>
  <si>
    <t>EV-001, EV-002, EV-006</t>
  </si>
  <si>
    <t>SG-011</t>
  </si>
  <si>
    <t>Transactional Emails May Duplicate Personal Information Outside the Database</t>
  </si>
  <si>
    <t>Email / Communication Safeguards</t>
  </si>
  <si>
    <t>Name, email, phone number, address, reservation details, order confirmation details, contact message content</t>
  </si>
  <si>
    <t>Gmail SMTP is used for transactional emails and may create additional copies of customer personal information in email records.</t>
  </si>
  <si>
    <t>Email templates should minimize unnecessary personal information and email retention should align with documented business needs.</t>
  </si>
  <si>
    <t>Personal information may be duplicated across email records with unclear retention, access, and minimization controls.</t>
  </si>
  <si>
    <t>Limiting Use, Disclosure, and Retention; Safeguards; Openness</t>
  </si>
  <si>
    <t>Inventory email templates, document data included in each email type, minimize unnecessary fields, and define email retention expectations.</t>
  </si>
  <si>
    <t>EV-003, EV-006</t>
  </si>
  <si>
    <t>SG-012</t>
  </si>
  <si>
    <t>Privacy Evidence Traceability Not Centralized</t>
  </si>
  <si>
    <t>Evidence / Accountability</t>
  </si>
  <si>
    <t>All assessed personal information and related workflows</t>
  </si>
  <si>
    <t>Privacy-relevant findings, evidence references, vendor notes, retention notes, and remediation actions are not centralized in one evidence structure.</t>
  </si>
  <si>
    <t>Privacy findings should be traceable to evidence, affected data elements, risk ratings, remediation actions, and closure criteria.</t>
  </si>
  <si>
    <t>Weak evidence traceability may limit the ability to demonstrate accountability, support remediation, or respond to privacy questions.</t>
  </si>
  <si>
    <t>Accountability; Challenging Compliance; Safeguards</t>
  </si>
  <si>
    <t>Maintain an evidence index linking data elements, findings, gap IDs, evidence references, remediation actions, and closure criteria.</t>
  </si>
  <si>
    <t>EV-001, EV-002, EV-003, EV-004, EV-005, EV-006</t>
  </si>
  <si>
    <t>In Progress</t>
  </si>
  <si>
    <t>PIPEDA Principle</t>
  </si>
  <si>
    <t>Finding ID</t>
  </si>
  <si>
    <t>Accountability</t>
  </si>
  <si>
    <t>PF-001 Inconsistent Field-Level Protection</t>
  </si>
  <si>
    <t>Identifying Purposes</t>
  </si>
  <si>
    <t>PF-002 RBAC / Access Limitation Gap</t>
  </si>
  <si>
    <t>Low</t>
  </si>
  <si>
    <t>Closed</t>
  </si>
  <si>
    <t>Consent</t>
  </si>
  <si>
    <t>PF-003 Limited Audit Logging</t>
  </si>
  <si>
    <t>Deferred</t>
  </si>
  <si>
    <t>Limiting Collection</t>
  </si>
  <si>
    <t>PF-004 Stripe Third-Party Processing Dependency</t>
  </si>
  <si>
    <t>Limiting Use, Disclosure, and Retention</t>
  </si>
  <si>
    <t>PF-005 Retention / Deletion Documentation Incomplete</t>
  </si>
  <si>
    <t>Accuracy</t>
  </si>
  <si>
    <t>PF-006 Evidence Traceability Gap</t>
  </si>
  <si>
    <t>Safeguards</t>
  </si>
  <si>
    <t>PF-007 Change Management Risk for Systems Handling Personal Information</t>
  </si>
  <si>
    <t>Openness</t>
  </si>
  <si>
    <t>Individual Access</t>
  </si>
  <si>
    <t>Challenging Compliance</t>
  </si>
  <si>
    <t>Evidence ID</t>
  </si>
  <si>
    <t>Evidence Name</t>
  </si>
  <si>
    <t>Supports</t>
  </si>
  <si>
    <t>Related Safeguard Areas</t>
  </si>
  <si>
    <t>EV-001</t>
  </si>
  <si>
    <t>Sanitized data model reference</t>
  </si>
  <si>
    <t>Personal information fields and field-level protection differences</t>
  </si>
  <si>
    <t>Encryption / Data Protection; Data Minimization</t>
  </si>
  <si>
    <t>EV-002</t>
  </si>
  <si>
    <t>Sanitized application workflow reference</t>
  </si>
  <si>
    <t>Reservation, checkout, contact, and payment workflow mapping</t>
  </si>
  <si>
    <t>Authentication; Change Governance; Data Flow</t>
  </si>
  <si>
    <t>Sanitized vendor dependency reference</t>
  </si>
  <si>
    <t>Stripe, Gmail, Cloudinary, Render, GitHub, and database dependencies</t>
  </si>
  <si>
    <t>Vendor / Third-Party Processing; Email</t>
  </si>
  <si>
    <t>Sanitized access review reference</t>
  </si>
  <si>
    <t>Privileged access, RBAC gap, access governance observations</t>
  </si>
  <si>
    <t>Access Control / RBAC; Privileged Access; Secrets Management</t>
  </si>
  <si>
    <t>Sanitized logging review reference</t>
  </si>
  <si>
    <t>Winston logs and lack of user/admin activity logging</t>
  </si>
  <si>
    <t>Logging / Monitoring; Accountability</t>
  </si>
  <si>
    <t>Sanitized retention review reference</t>
  </si>
  <si>
    <t>Retention and deletion considerations across records and logs</t>
  </si>
  <si>
    <t>Retention / Deletion; Evidence / Accountability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</si>
</sst>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libri"/>
      <scheme val="minor"/>
    </font>
    <font>
      <b/>
      <sz val="11"/>
      <name val="Calibri"/>
      <scheme val="minor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top" wrapText="1"/>
    </xf>
    <xf numFmtId="164" fontId="1" fillId="2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wrapText="1"/>
    </xf>
    <xf numFmtId="0" fontId="3" fillId="0" borderId="0" xfId="0" applyFont="1"/>
    <xf numFmtId="0" fontId="3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24"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feguardsGapLogTable" displayName="SafeguardsGapLogTable" ref="A1:N13" headerRowDxfId="23" dataDxfId="22" totalsRowDxfId="21">
  <tableColumns count="14">
    <tableColumn id="1" xr3:uid="{00000000-0010-0000-0000-000001000000}" name="Gap ID" dataDxfId="20"/>
    <tableColumn id="2" xr3:uid="{00000000-0010-0000-0000-000002000000}" name="Gap Title" dataDxfId="19"/>
    <tableColumn id="3" xr3:uid="{00000000-0010-0000-0000-000003000000}" name="Safeguard Area" dataDxfId="18"/>
    <tableColumn id="4" xr3:uid="{00000000-0010-0000-0000-000004000000}" name="Affected Data Element" dataDxfId="17"/>
    <tableColumn id="5" xr3:uid="{00000000-0010-0000-0000-000005000000}" name="Current State" dataDxfId="16"/>
    <tableColumn id="6" xr3:uid="{00000000-0010-0000-0000-000006000000}" name="Expected Privacy Safeguard" dataDxfId="15"/>
    <tableColumn id="7" xr3:uid="{00000000-0010-0000-0000-000007000000}" name="Privacy Impact" dataDxfId="14"/>
    <tableColumn id="8" xr3:uid="{00000000-0010-0000-0000-000008000000}" name="Related PIPEDA Principle" dataDxfId="13"/>
    <tableColumn id="9" xr3:uid="{00000000-0010-0000-0000-000009000000}" name="Risk Rating" dataDxfId="12"/>
    <tableColumn id="10" xr3:uid="{00000000-0010-0000-0000-00000A000000}" name="Recommended Action" dataDxfId="11"/>
    <tableColumn id="11" xr3:uid="{00000000-0010-0000-0000-00000B000000}" name="Owner" dataDxfId="10"/>
    <tableColumn id="12" xr3:uid="{00000000-0010-0000-0000-00000C000000}" name="Target Date" dataDxfId="9"/>
    <tableColumn id="13" xr3:uid="{00000000-0010-0000-0000-00000D000000}" name="Evidence Reference" dataDxfId="8"/>
    <tableColumn id="14" xr3:uid="{00000000-0010-0000-0000-00000E000000}" name="Statu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MapTable" displayName="EvidenceMapTable" ref="A1:D7" headerRowDxfId="6" dataDxfId="5" totalsRowDxfId="4">
  <tableColumns count="4">
    <tableColumn id="1" xr3:uid="{00000000-0010-0000-0100-000001000000}" name="Evidence ID" dataDxfId="3"/>
    <tableColumn id="2" xr3:uid="{00000000-0010-0000-0100-000002000000}" name="Evidence Name" dataDxfId="2"/>
    <tableColumn id="3" xr3:uid="{00000000-0010-0000-0100-000003000000}" name="Supports" dataDxfId="1"/>
    <tableColumn id="4" xr3:uid="{00000000-0010-0000-0100-000004000000}" name="Related Safeguard Are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19" sqref="B19"/>
    </sheetView>
  </sheetViews>
  <sheetFormatPr defaultRowHeight="14.25"/>
  <cols>
    <col min="1" max="1" width="28" customWidth="1"/>
    <col min="2" max="2" width="85" customWidth="1"/>
  </cols>
  <sheetData>
    <row r="1" spans="1:2" ht="15">
      <c r="A1" s="1" t="s">
        <v>0</v>
      </c>
      <c r="B1" s="2" t="s">
        <v>1</v>
      </c>
    </row>
    <row r="2" spans="1:2" ht="15">
      <c r="A2" s="3" t="s">
        <v>2</v>
      </c>
      <c r="B2" s="4" t="s">
        <v>3</v>
      </c>
    </row>
    <row r="3" spans="1:2" ht="30.75">
      <c r="A3" s="3" t="s">
        <v>4</v>
      </c>
      <c r="B3" s="4" t="s">
        <v>5</v>
      </c>
    </row>
    <row r="4" spans="1:2" ht="15">
      <c r="A4" s="3" t="s">
        <v>6</v>
      </c>
      <c r="B4" s="4" t="s">
        <v>7</v>
      </c>
    </row>
    <row r="5" spans="1:2" ht="15">
      <c r="A5" s="3" t="s">
        <v>8</v>
      </c>
      <c r="B5" s="4" t="s">
        <v>9</v>
      </c>
    </row>
    <row r="6" spans="1:2" ht="15">
      <c r="A6" s="3" t="s">
        <v>10</v>
      </c>
      <c r="B6" s="4" t="s">
        <v>11</v>
      </c>
    </row>
    <row r="7" spans="1:2" ht="30.75">
      <c r="A7" s="3" t="s">
        <v>12</v>
      </c>
      <c r="B7" s="4" t="s">
        <v>13</v>
      </c>
    </row>
    <row r="8" spans="1:2" ht="15">
      <c r="A8" s="3" t="s">
        <v>14</v>
      </c>
      <c r="B8" s="4">
        <f>COUNTA(Safeguards_Gap_Log!A2:A13)</f>
        <v>12</v>
      </c>
    </row>
    <row r="9" spans="1:2" ht="15">
      <c r="A9" s="3" t="s">
        <v>15</v>
      </c>
      <c r="B9" s="4">
        <f>COUNTIF(Safeguards_Gap_Log!I2:I13,"High")</f>
        <v>5</v>
      </c>
    </row>
    <row r="10" spans="1:2" ht="15">
      <c r="A10" s="3" t="s">
        <v>16</v>
      </c>
      <c r="B10" s="4">
        <f>COUNTIF(Safeguards_Gap_Log!I2:I13,"Medium")</f>
        <v>7</v>
      </c>
    </row>
    <row r="11" spans="1:2" ht="15">
      <c r="A11" s="3" t="s">
        <v>17</v>
      </c>
      <c r="B11" s="4">
        <f>COUNTIF(Safeguards_Gap_Log!I2:I13,"Low")</f>
        <v>0</v>
      </c>
    </row>
    <row r="12" spans="1:2" ht="15">
      <c r="A12" s="3" t="s">
        <v>18</v>
      </c>
      <c r="B12" s="4">
        <f>COUNTIF(Safeguards_Gap_Log!N2:N13,"Open")</f>
        <v>11</v>
      </c>
    </row>
    <row r="13" spans="1:2" ht="15">
      <c r="A13" s="3" t="s">
        <v>19</v>
      </c>
      <c r="B13" s="4">
        <f>COUNTIF(Safeguards_Gap_Log!N2:N13,"In Progress")</f>
        <v>1</v>
      </c>
    </row>
    <row r="14" spans="1:2" ht="15">
      <c r="A14" s="3" t="s">
        <v>20</v>
      </c>
      <c r="B14" s="4">
        <f>COUNTIF(Safeguards_Gap_Log!N2:N13,"Closed")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opLeftCell="D1" workbookViewId="0">
      <selection activeCell="C8" sqref="C8"/>
    </sheetView>
  </sheetViews>
  <sheetFormatPr defaultRowHeight="14.25"/>
  <cols>
    <col min="1" max="1" width="12" customWidth="1"/>
    <col min="2" max="2" width="34" customWidth="1"/>
    <col min="3" max="3" width="26" customWidth="1"/>
    <col min="4" max="4" width="40" customWidth="1"/>
    <col min="5" max="7" width="48" customWidth="1"/>
    <col min="8" max="8" width="36" customWidth="1"/>
    <col min="9" max="9" width="14" customWidth="1"/>
    <col min="10" max="10" width="50" customWidth="1"/>
    <col min="11" max="11" width="24" customWidth="1"/>
    <col min="12" max="12" width="15" customWidth="1"/>
    <col min="13" max="13" width="28" customWidth="1"/>
    <col min="14" max="14" width="16" customWidth="1"/>
  </cols>
  <sheetData>
    <row r="1" spans="1:14" ht="1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6" t="s">
        <v>32</v>
      </c>
      <c r="M1" s="5" t="s">
        <v>33</v>
      </c>
      <c r="N1" s="5" t="s">
        <v>34</v>
      </c>
    </row>
    <row r="2" spans="1:14" ht="45.75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>
        <v>46265</v>
      </c>
      <c r="M2" s="4" t="s">
        <v>46</v>
      </c>
      <c r="N2" s="4" t="s">
        <v>47</v>
      </c>
    </row>
    <row r="3" spans="1:14" ht="60.75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57</v>
      </c>
      <c r="K3" s="4" t="s">
        <v>45</v>
      </c>
      <c r="L3" s="4">
        <v>46280</v>
      </c>
      <c r="M3" s="4" t="s">
        <v>58</v>
      </c>
      <c r="N3" s="4" t="s">
        <v>47</v>
      </c>
    </row>
    <row r="4" spans="1:14" ht="45.75">
      <c r="A4" s="4" t="s">
        <v>59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42</v>
      </c>
      <c r="I4" s="4" t="s">
        <v>43</v>
      </c>
      <c r="J4" s="4" t="s">
        <v>66</v>
      </c>
      <c r="K4" s="4" t="s">
        <v>67</v>
      </c>
      <c r="L4" s="4">
        <v>46265</v>
      </c>
      <c r="M4" s="4" t="s">
        <v>68</v>
      </c>
      <c r="N4" s="4" t="s">
        <v>47</v>
      </c>
    </row>
    <row r="5" spans="1:14" ht="45.75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55</v>
      </c>
      <c r="I5" s="4" t="s">
        <v>43</v>
      </c>
      <c r="J5" s="4" t="s">
        <v>76</v>
      </c>
      <c r="K5" s="4" t="s">
        <v>67</v>
      </c>
      <c r="L5" s="4">
        <v>46265</v>
      </c>
      <c r="M5" s="4" t="s">
        <v>68</v>
      </c>
      <c r="N5" s="4" t="s">
        <v>47</v>
      </c>
    </row>
    <row r="6" spans="1:14" ht="45.75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43</v>
      </c>
      <c r="J6" s="4" t="s">
        <v>85</v>
      </c>
      <c r="K6" s="4" t="s">
        <v>45</v>
      </c>
      <c r="L6" s="4">
        <v>46295</v>
      </c>
      <c r="M6" s="4" t="s">
        <v>86</v>
      </c>
      <c r="N6" s="4" t="s">
        <v>47</v>
      </c>
    </row>
    <row r="7" spans="1:14" ht="45.75">
      <c r="A7" s="4" t="s">
        <v>87</v>
      </c>
      <c r="B7" s="4" t="s">
        <v>88</v>
      </c>
      <c r="C7" s="4" t="s">
        <v>89</v>
      </c>
      <c r="D7" s="4" t="s">
        <v>90</v>
      </c>
      <c r="E7" s="4" t="s">
        <v>91</v>
      </c>
      <c r="F7" s="4" t="s">
        <v>92</v>
      </c>
      <c r="G7" s="4" t="s">
        <v>93</v>
      </c>
      <c r="H7" s="4" t="s">
        <v>94</v>
      </c>
      <c r="I7" s="4" t="s">
        <v>43</v>
      </c>
      <c r="J7" s="4" t="s">
        <v>95</v>
      </c>
      <c r="K7" s="4" t="s">
        <v>67</v>
      </c>
      <c r="L7" s="4">
        <v>46280</v>
      </c>
      <c r="M7" s="4" t="s">
        <v>68</v>
      </c>
      <c r="N7" s="4" t="s">
        <v>47</v>
      </c>
    </row>
    <row r="8" spans="1:14" ht="45.75">
      <c r="A8" s="4" t="s">
        <v>96</v>
      </c>
      <c r="B8" s="4" t="s">
        <v>97</v>
      </c>
      <c r="C8" s="4" t="s">
        <v>98</v>
      </c>
      <c r="D8" s="4" t="s">
        <v>99</v>
      </c>
      <c r="E8" s="4" t="s">
        <v>100</v>
      </c>
      <c r="F8" s="4" t="s">
        <v>101</v>
      </c>
      <c r="G8" s="4" t="s">
        <v>102</v>
      </c>
      <c r="H8" s="4" t="s">
        <v>103</v>
      </c>
      <c r="I8" s="4" t="s">
        <v>56</v>
      </c>
      <c r="J8" s="4" t="s">
        <v>104</v>
      </c>
      <c r="K8" s="4" t="s">
        <v>105</v>
      </c>
      <c r="L8" s="4">
        <v>46310</v>
      </c>
      <c r="M8" s="4" t="s">
        <v>106</v>
      </c>
      <c r="N8" s="4" t="s">
        <v>47</v>
      </c>
    </row>
    <row r="9" spans="1:14" ht="45.75">
      <c r="A9" s="4" t="s">
        <v>107</v>
      </c>
      <c r="B9" s="4" t="s">
        <v>108</v>
      </c>
      <c r="C9" s="4" t="s">
        <v>109</v>
      </c>
      <c r="D9" s="4" t="s">
        <v>110</v>
      </c>
      <c r="E9" s="4" t="s">
        <v>111</v>
      </c>
      <c r="F9" s="4" t="s">
        <v>112</v>
      </c>
      <c r="G9" s="4" t="s">
        <v>113</v>
      </c>
      <c r="H9" s="4" t="s">
        <v>114</v>
      </c>
      <c r="I9" s="4" t="s">
        <v>56</v>
      </c>
      <c r="J9" s="4" t="s">
        <v>115</v>
      </c>
      <c r="K9" s="4" t="s">
        <v>116</v>
      </c>
      <c r="L9" s="4">
        <v>46326</v>
      </c>
      <c r="M9" s="4" t="s">
        <v>117</v>
      </c>
      <c r="N9" s="4" t="s">
        <v>47</v>
      </c>
    </row>
    <row r="10" spans="1:14" ht="45.75">
      <c r="A10" s="4" t="s">
        <v>118</v>
      </c>
      <c r="B10" s="4" t="s">
        <v>119</v>
      </c>
      <c r="C10" s="4" t="s">
        <v>120</v>
      </c>
      <c r="D10" s="4" t="s">
        <v>121</v>
      </c>
      <c r="E10" s="4" t="s">
        <v>122</v>
      </c>
      <c r="F10" s="4" t="s">
        <v>123</v>
      </c>
      <c r="G10" s="4" t="s">
        <v>124</v>
      </c>
      <c r="H10" s="4" t="s">
        <v>55</v>
      </c>
      <c r="I10" s="4" t="s">
        <v>56</v>
      </c>
      <c r="J10" s="4" t="s">
        <v>125</v>
      </c>
      <c r="K10" s="4" t="s">
        <v>45</v>
      </c>
      <c r="L10" s="4">
        <v>46295</v>
      </c>
      <c r="M10" s="4" t="s">
        <v>58</v>
      </c>
      <c r="N10" s="4" t="s">
        <v>47</v>
      </c>
    </row>
    <row r="11" spans="1:14" ht="45.75">
      <c r="A11" s="4" t="s">
        <v>126</v>
      </c>
      <c r="B11" s="4" t="s">
        <v>127</v>
      </c>
      <c r="C11" s="4" t="s">
        <v>128</v>
      </c>
      <c r="D11" s="4" t="s">
        <v>129</v>
      </c>
      <c r="E11" s="4" t="s">
        <v>130</v>
      </c>
      <c r="F11" s="4" t="s">
        <v>131</v>
      </c>
      <c r="G11" s="4" t="s">
        <v>132</v>
      </c>
      <c r="H11" s="4" t="s">
        <v>133</v>
      </c>
      <c r="I11" s="4" t="s">
        <v>56</v>
      </c>
      <c r="J11" s="4" t="s">
        <v>134</v>
      </c>
      <c r="K11" s="4" t="s">
        <v>135</v>
      </c>
      <c r="L11" s="4">
        <v>46310</v>
      </c>
      <c r="M11" s="4" t="s">
        <v>136</v>
      </c>
      <c r="N11" s="4" t="s">
        <v>47</v>
      </c>
    </row>
    <row r="12" spans="1:14" ht="45.75">
      <c r="A12" s="4" t="s">
        <v>137</v>
      </c>
      <c r="B12" s="4" t="s">
        <v>138</v>
      </c>
      <c r="C12" s="4" t="s">
        <v>139</v>
      </c>
      <c r="D12" s="4" t="s">
        <v>140</v>
      </c>
      <c r="E12" s="4" t="s">
        <v>141</v>
      </c>
      <c r="F12" s="4" t="s">
        <v>142</v>
      </c>
      <c r="G12" s="4" t="s">
        <v>143</v>
      </c>
      <c r="H12" s="4" t="s">
        <v>144</v>
      </c>
      <c r="I12" s="4" t="s">
        <v>56</v>
      </c>
      <c r="J12" s="4" t="s">
        <v>145</v>
      </c>
      <c r="K12" s="4" t="s">
        <v>116</v>
      </c>
      <c r="L12" s="4">
        <v>46326</v>
      </c>
      <c r="M12" s="4" t="s">
        <v>146</v>
      </c>
      <c r="N12" s="4" t="s">
        <v>47</v>
      </c>
    </row>
    <row r="13" spans="1:14" ht="45.75">
      <c r="A13" s="4" t="s">
        <v>147</v>
      </c>
      <c r="B13" s="4" t="s">
        <v>148</v>
      </c>
      <c r="C13" s="4" t="s">
        <v>149</v>
      </c>
      <c r="D13" s="4" t="s">
        <v>150</v>
      </c>
      <c r="E13" s="4" t="s">
        <v>151</v>
      </c>
      <c r="F13" s="4" t="s">
        <v>152</v>
      </c>
      <c r="G13" s="4" t="s">
        <v>153</v>
      </c>
      <c r="H13" s="4" t="s">
        <v>154</v>
      </c>
      <c r="I13" s="4" t="s">
        <v>56</v>
      </c>
      <c r="J13" s="4" t="s">
        <v>155</v>
      </c>
      <c r="K13" s="4" t="s">
        <v>135</v>
      </c>
      <c r="L13" s="4">
        <v>46265</v>
      </c>
      <c r="M13" s="4" t="s">
        <v>156</v>
      </c>
      <c r="N13" s="4" t="s">
        <v>157</v>
      </c>
    </row>
  </sheetData>
  <dataValidations count="4">
    <dataValidation type="list" sqref="C2:C13" xr:uid="{00000000-0002-0000-0100-000000000000}">
      <formula1>_xlfn._LONGTEXT("Access Control / RBAC,Authentication / Identity Context,Change Governance,Data Minimization / Collection Control,Email / Communication Safeguards,Encryption / Data Protection,Evidence / Accountability,Logging / Monitoring,Privileged Access Management,Rete","ntion / Deletion,Secrets Management,Vendor / Third-Party Processing")</formula1>
    </dataValidation>
    <dataValidation type="list" sqref="I2:I13" xr:uid="{00000000-0002-0000-0100-000001000000}">
      <formula1>"High,Medium,Low"</formula1>
    </dataValidation>
    <dataValidation type="list" sqref="K2:K13" xr:uid="{00000000-0002-0000-0100-000002000000}">
      <formula1>"Application Owner,Business Owner,Privacy Reviewer,Security / IT Reviewer,Vendor / Third-Party Owner"</formula1>
    </dataValidation>
    <dataValidation type="list" sqref="N2:N13" xr:uid="{00000000-0002-0000-0100-000003000000}">
      <formula1>"Open,In Progress,Closed,Deferred"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C13" sqref="C13"/>
    </sheetView>
  </sheetViews>
  <sheetFormatPr defaultRowHeight="15"/>
  <cols>
    <col min="1" max="1" width="34" style="8" customWidth="1"/>
    <col min="2" max="2" width="9" style="8"/>
    <col min="3" max="3" width="34" style="8" customWidth="1"/>
    <col min="4" max="4" width="9" style="8"/>
    <col min="5" max="5" width="34" style="8" customWidth="1"/>
    <col min="6" max="6" width="9" style="8"/>
    <col min="7" max="7" width="34" style="8" customWidth="1"/>
    <col min="8" max="8" width="9" style="8"/>
    <col min="9" max="9" width="34" style="8" customWidth="1"/>
    <col min="10" max="10" width="9" style="8"/>
    <col min="11" max="11" width="34" style="8" customWidth="1"/>
    <col min="12" max="16384" width="9" style="8"/>
  </cols>
  <sheetData>
    <row r="1" spans="1:11">
      <c r="A1" s="7" t="s">
        <v>23</v>
      </c>
      <c r="C1" s="7" t="s">
        <v>29</v>
      </c>
      <c r="E1" s="7" t="s">
        <v>34</v>
      </c>
      <c r="G1" s="7" t="s">
        <v>31</v>
      </c>
      <c r="I1" s="7" t="s">
        <v>158</v>
      </c>
      <c r="K1" s="7" t="s">
        <v>159</v>
      </c>
    </row>
    <row r="2" spans="1:11">
      <c r="A2" s="9" t="s">
        <v>61</v>
      </c>
      <c r="C2" s="9" t="s">
        <v>43</v>
      </c>
      <c r="E2" s="9" t="s">
        <v>47</v>
      </c>
      <c r="G2" s="9" t="s">
        <v>45</v>
      </c>
      <c r="I2" s="9" t="s">
        <v>160</v>
      </c>
      <c r="K2" s="9" t="s">
        <v>161</v>
      </c>
    </row>
    <row r="3" spans="1:11">
      <c r="A3" s="9" t="s">
        <v>50</v>
      </c>
      <c r="C3" s="9" t="s">
        <v>56</v>
      </c>
      <c r="E3" s="9" t="s">
        <v>157</v>
      </c>
      <c r="G3" s="9" t="s">
        <v>116</v>
      </c>
      <c r="I3" s="9" t="s">
        <v>162</v>
      </c>
      <c r="K3" s="9" t="s">
        <v>163</v>
      </c>
    </row>
    <row r="4" spans="1:11">
      <c r="A4" s="9" t="s">
        <v>120</v>
      </c>
      <c r="C4" s="9" t="s">
        <v>164</v>
      </c>
      <c r="E4" s="9" t="s">
        <v>165</v>
      </c>
      <c r="G4" s="9" t="s">
        <v>135</v>
      </c>
      <c r="I4" s="9" t="s">
        <v>166</v>
      </c>
      <c r="K4" s="9" t="s">
        <v>167</v>
      </c>
    </row>
    <row r="5" spans="1:11" ht="30.75">
      <c r="A5" s="9" t="s">
        <v>128</v>
      </c>
      <c r="E5" s="9" t="s">
        <v>168</v>
      </c>
      <c r="G5" s="9" t="s">
        <v>67</v>
      </c>
      <c r="I5" s="9" t="s">
        <v>169</v>
      </c>
      <c r="K5" s="9" t="s">
        <v>170</v>
      </c>
    </row>
    <row r="6" spans="1:11" ht="30.75">
      <c r="A6" s="9" t="s">
        <v>139</v>
      </c>
      <c r="G6" s="9" t="s">
        <v>105</v>
      </c>
      <c r="I6" s="9" t="s">
        <v>171</v>
      </c>
      <c r="K6" s="9" t="s">
        <v>172</v>
      </c>
    </row>
    <row r="7" spans="1:11">
      <c r="A7" s="9" t="s">
        <v>37</v>
      </c>
      <c r="I7" s="9" t="s">
        <v>173</v>
      </c>
      <c r="K7" s="9" t="s">
        <v>174</v>
      </c>
    </row>
    <row r="8" spans="1:11" ht="30.75">
      <c r="A8" s="9" t="s">
        <v>149</v>
      </c>
      <c r="I8" s="9" t="s">
        <v>175</v>
      </c>
      <c r="K8" s="9" t="s">
        <v>176</v>
      </c>
    </row>
    <row r="9" spans="1:11">
      <c r="A9" s="9" t="s">
        <v>79</v>
      </c>
      <c r="I9" s="9" t="s">
        <v>177</v>
      </c>
    </row>
    <row r="10" spans="1:11">
      <c r="A10" s="9" t="s">
        <v>71</v>
      </c>
      <c r="I10" s="9" t="s">
        <v>178</v>
      </c>
    </row>
    <row r="11" spans="1:11">
      <c r="A11" s="9" t="s">
        <v>109</v>
      </c>
      <c r="I11" s="9" t="s">
        <v>179</v>
      </c>
    </row>
    <row r="12" spans="1:11">
      <c r="A12" s="9" t="s">
        <v>89</v>
      </c>
    </row>
    <row r="13" spans="1:11">
      <c r="A13" s="9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C18" sqref="C18"/>
    </sheetView>
  </sheetViews>
  <sheetFormatPr defaultRowHeight="14.25"/>
  <cols>
    <col min="1" max="1" width="14" customWidth="1"/>
    <col min="2" max="2" width="34" customWidth="1"/>
    <col min="3" max="3" width="58" customWidth="1"/>
    <col min="4" max="4" width="48" customWidth="1"/>
  </cols>
  <sheetData>
    <row r="1" spans="1:4" ht="15">
      <c r="A1" s="10" t="s">
        <v>180</v>
      </c>
      <c r="B1" s="10" t="s">
        <v>181</v>
      </c>
      <c r="C1" s="10" t="s">
        <v>182</v>
      </c>
      <c r="D1" s="10" t="s">
        <v>183</v>
      </c>
    </row>
    <row r="2" spans="1:4" ht="15">
      <c r="A2" s="9" t="s">
        <v>184</v>
      </c>
      <c r="B2" s="9" t="s">
        <v>185</v>
      </c>
      <c r="C2" s="9" t="s">
        <v>186</v>
      </c>
      <c r="D2" s="9" t="s">
        <v>187</v>
      </c>
    </row>
    <row r="3" spans="1:4" ht="15">
      <c r="A3" s="9" t="s">
        <v>188</v>
      </c>
      <c r="B3" s="9" t="s">
        <v>189</v>
      </c>
      <c r="C3" s="9" t="s">
        <v>190</v>
      </c>
      <c r="D3" s="9" t="s">
        <v>191</v>
      </c>
    </row>
    <row r="4" spans="1:4" ht="15">
      <c r="A4" s="9" t="s">
        <v>106</v>
      </c>
      <c r="B4" s="9" t="s">
        <v>192</v>
      </c>
      <c r="C4" s="9" t="s">
        <v>193</v>
      </c>
      <c r="D4" s="9" t="s">
        <v>194</v>
      </c>
    </row>
    <row r="5" spans="1:4" ht="30.75">
      <c r="A5" s="9" t="s">
        <v>68</v>
      </c>
      <c r="B5" s="9" t="s">
        <v>195</v>
      </c>
      <c r="C5" s="9" t="s">
        <v>196</v>
      </c>
      <c r="D5" s="9" t="s">
        <v>197</v>
      </c>
    </row>
    <row r="6" spans="1:4" ht="15">
      <c r="A6" s="9" t="s">
        <v>86</v>
      </c>
      <c r="B6" s="9" t="s">
        <v>198</v>
      </c>
      <c r="C6" s="9" t="s">
        <v>199</v>
      </c>
      <c r="D6" s="9" t="s">
        <v>200</v>
      </c>
    </row>
    <row r="7" spans="1:4" ht="15">
      <c r="A7" s="9" t="s">
        <v>117</v>
      </c>
      <c r="B7" s="9" t="s">
        <v>201</v>
      </c>
      <c r="C7" s="9" t="s">
        <v>202</v>
      </c>
      <c r="D7" s="9" t="s">
        <v>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2026-06-17T18:37:02Z</dcterms:created>
  <dcterms:modified xsi:type="dcterms:W3CDTF">2026-06-17T18:39:43Z</dcterms:modified>
  <cp:category/>
  <cp:contentStatus/>
</cp:coreProperties>
</file>